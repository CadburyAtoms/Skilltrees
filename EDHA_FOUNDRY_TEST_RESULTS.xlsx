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bbdc0a387be64072/Documentos/Worldbuilding/Claude Design/Skilltrees/"/>
    </mc:Choice>
  </mc:AlternateContent>
  <xr:revisionPtr revIDLastSave="96" documentId="11_A47D855983A88A0EDA790F37215BDA16964FB78C" xr6:coauthVersionLast="47" xr6:coauthVersionMax="47" xr10:uidLastSave="{2DF24429-DDD8-4520-8E15-A5FF5A349213}"/>
  <bookViews>
    <workbookView xWindow="38415" yWindow="15" windowWidth="28770" windowHeight="15450" xr2:uid="{00000000-000D-0000-FFFF-FFFF00000000}"/>
  </bookViews>
  <sheets>
    <sheet name="Results" sheetId="1" r:id="rId1"/>
    <sheet name="Summary" sheetId="2" r:id="rId2"/>
  </sheets>
  <definedNames>
    <definedName name="_xlnm._FilterDatabase" localSheetId="0" hidden="1">Results!$A$1:$I$334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2" l="1"/>
  <c r="G18" i="2"/>
  <c r="F18" i="2"/>
  <c r="E18" i="2"/>
  <c r="D18" i="2"/>
  <c r="C18" i="2"/>
  <c r="B18" i="2"/>
  <c r="H17" i="2"/>
  <c r="G17" i="2"/>
  <c r="F17" i="2"/>
  <c r="E17" i="2"/>
  <c r="D17" i="2"/>
  <c r="C17" i="2"/>
  <c r="B17" i="2"/>
  <c r="H16" i="2"/>
  <c r="G16" i="2"/>
  <c r="F16" i="2"/>
  <c r="E16" i="2"/>
  <c r="D16" i="2"/>
  <c r="C16" i="2"/>
  <c r="B16" i="2"/>
  <c r="H15" i="2"/>
  <c r="G15" i="2"/>
  <c r="F15" i="2"/>
  <c r="E15" i="2"/>
  <c r="D15" i="2"/>
  <c r="C15" i="2"/>
  <c r="B15" i="2"/>
  <c r="H14" i="2"/>
  <c r="G14" i="2"/>
  <c r="F14" i="2"/>
  <c r="E14" i="2"/>
  <c r="D14" i="2"/>
  <c r="C14" i="2"/>
  <c r="B14" i="2"/>
  <c r="H13" i="2"/>
  <c r="G13" i="2"/>
  <c r="F13" i="2"/>
  <c r="E13" i="2"/>
  <c r="D13" i="2"/>
  <c r="C13" i="2"/>
  <c r="B13" i="2"/>
  <c r="H12" i="2"/>
  <c r="G12" i="2"/>
  <c r="F12" i="2"/>
  <c r="E12" i="2"/>
  <c r="D12" i="2"/>
  <c r="C12" i="2"/>
  <c r="B12" i="2"/>
  <c r="H11" i="2"/>
  <c r="G11" i="2"/>
  <c r="F11" i="2"/>
  <c r="E11" i="2"/>
  <c r="D11" i="2"/>
  <c r="C11" i="2"/>
  <c r="B11" i="2"/>
  <c r="H10" i="2"/>
  <c r="G10" i="2"/>
  <c r="F10" i="2"/>
  <c r="E10" i="2"/>
  <c r="D10" i="2"/>
  <c r="C10" i="2"/>
  <c r="B10" i="2"/>
  <c r="H9" i="2"/>
  <c r="G9" i="2"/>
  <c r="F9" i="2"/>
  <c r="E9" i="2"/>
  <c r="D9" i="2"/>
  <c r="C9" i="2"/>
  <c r="B9" i="2"/>
  <c r="H8" i="2"/>
  <c r="G8" i="2"/>
  <c r="F8" i="2"/>
  <c r="E8" i="2"/>
  <c r="D8" i="2"/>
  <c r="C8" i="2"/>
  <c r="B8" i="2"/>
  <c r="H7" i="2"/>
  <c r="G7" i="2"/>
  <c r="F7" i="2"/>
  <c r="E7" i="2"/>
  <c r="D7" i="2"/>
  <c r="C7" i="2"/>
  <c r="B7" i="2"/>
  <c r="H6" i="2"/>
  <c r="G6" i="2"/>
  <c r="F6" i="2"/>
  <c r="E6" i="2"/>
  <c r="D6" i="2"/>
  <c r="C6" i="2"/>
  <c r="B6" i="2"/>
  <c r="H5" i="2"/>
  <c r="G5" i="2"/>
  <c r="F5" i="2"/>
  <c r="E5" i="2"/>
  <c r="D5" i="2"/>
  <c r="C5" i="2"/>
  <c r="B5" i="2"/>
  <c r="H4" i="2"/>
  <c r="G4" i="2"/>
  <c r="F4" i="2"/>
  <c r="E4" i="2"/>
  <c r="D4" i="2"/>
  <c r="C4" i="2"/>
  <c r="B4" i="2"/>
  <c r="H3" i="2"/>
  <c r="G3" i="2"/>
  <c r="F3" i="2"/>
  <c r="E3" i="2"/>
  <c r="D3" i="2"/>
  <c r="C3" i="2"/>
  <c r="B3" i="2"/>
  <c r="H2" i="2"/>
  <c r="G2" i="2"/>
  <c r="F2" i="2"/>
  <c r="E2" i="2"/>
  <c r="D2" i="2"/>
  <c r="C2" i="2"/>
  <c r="B2" i="2"/>
  <c r="C19" i="2" l="1"/>
  <c r="G19" i="2"/>
  <c r="F19" i="2"/>
  <c r="I9" i="2"/>
  <c r="I12" i="2"/>
  <c r="B19" i="2"/>
  <c r="H19" i="2"/>
  <c r="D19" i="2"/>
  <c r="I10" i="2"/>
  <c r="J10" i="2" s="1"/>
  <c r="E19" i="2"/>
  <c r="I5" i="2"/>
  <c r="J5" i="2" s="1"/>
  <c r="J12" i="2"/>
  <c r="I16" i="2"/>
  <c r="J16" i="2" s="1"/>
  <c r="J9" i="2"/>
  <c r="I2" i="2"/>
  <c r="J2" i="2" s="1"/>
  <c r="I13" i="2"/>
  <c r="J13" i="2" s="1"/>
  <c r="I6" i="2"/>
  <c r="J6" i="2" s="1"/>
  <c r="I17" i="2"/>
  <c r="J17" i="2" s="1"/>
  <c r="I3" i="2"/>
  <c r="J3" i="2" s="1"/>
  <c r="I14" i="2"/>
  <c r="J14" i="2" s="1"/>
  <c r="I7" i="2"/>
  <c r="J7" i="2" s="1"/>
  <c r="I18" i="2"/>
  <c r="J18" i="2" s="1"/>
  <c r="I11" i="2"/>
  <c r="J11" i="2" s="1"/>
  <c r="I4" i="2"/>
  <c r="J4" i="2" s="1"/>
  <c r="I15" i="2"/>
  <c r="J15" i="2" s="1"/>
  <c r="I8" i="2"/>
  <c r="J8" i="2" s="1"/>
  <c r="I19" i="2" l="1"/>
  <c r="J19" i="2" s="1"/>
</calcChain>
</file>

<file path=xl/sharedStrings.xml><?xml version="1.0" encoding="utf-8"?>
<sst xmlns="http://schemas.openxmlformats.org/spreadsheetml/2006/main" count="1606" uniqueCount="624">
  <si>
    <t>#</t>
  </si>
  <si>
    <t>Tree</t>
  </si>
  <si>
    <t>Section</t>
  </si>
  <si>
    <t>Talent / Feature</t>
  </si>
  <si>
    <t>Test</t>
  </si>
  <si>
    <t>Type</t>
  </si>
  <si>
    <t>Status</t>
  </si>
  <si>
    <t>Notes</t>
  </si>
  <si>
    <t>Date tested</t>
  </si>
  <si>
    <t>Black — Isolation + Ritual + Subjugation</t>
  </si>
  <si>
    <t>Setup (do once)</t>
  </si>
  <si>
    <t>Launch Foundry fresh (full relaunch — the engine register-skills.js changed across all three sessions).</t>
  </si>
  <si>
    <t>Setup</t>
  </si>
  <si>
    <t>On the test character, click ⟳ Sync Talents (needed for Isolation + Ritual, which changed talent rules; harmless for Subjugation).</t>
  </si>
  <si>
    <t>Console shows Edha Content | native event system registered (...) with the new handler list.</t>
  </si>
  <si>
    <t>Have in a combat: a Black PC (Black ranks, Investiture, focus) + at least one enemy/dummy token. Confirm enemies actually use focus (Subjugation needs it).</t>
  </si>
  <si>
    <t>Isolation (retrofit to the real-hit path + new tools)</t>
  </si>
  <si>
    <t>Predatory Patience</t>
  </si>
  <si>
    <t>Predatory Patience — attack a Weakened creature: the d20 test gains +1d[your Black die] (d8 at Black 3); on the damage roll you regain 1 Investiture.</t>
  </si>
  <si>
    <t>Predatory Patience — attack a non-Weakened creature: neither the die nor the Investiture triggers.</t>
  </si>
  <si>
    <t>Predatory Patience — confirm the +die shows through the roll dialog (not just fast-forward).</t>
  </si>
  <si>
    <t>Sapping Hex</t>
  </si>
  <si>
    <t>Sapping Hex — hit an Isolated target → it becomes Weakened; Weakened auto-expires at the end of its next turn (watch for the chat line).</t>
  </si>
  <si>
    <t>Sapping Hex — miss an Isolated target → it does NOT become Weakened (the retrofit point).</t>
  </si>
  <si>
    <t>Sovereign of Solitude</t>
  </si>
  <si>
    <t>Sovereign of Solitude — target a Weakened mover, use as a Reaction → spends 2 Inv, prompts Black-vs-Spiritual, rolls [Tier][Die] vital on a hit, and the target gains Immobilized (auto-expires end of its next turn).</t>
  </si>
  <si>
    <t>Spoils of Isolation / Severance</t>
  </si>
  <si>
    <t>Spoils of Isolation / Severance — regression: still work as before.</t>
  </si>
  <si>
    <t>Ritual (HP-cost economy + affliction + heal-cut)</t>
  </si>
  <si>
    <t>Hardy</t>
  </si>
  <si>
    <t>Hardy — max HP increases by your level (bump current HP up to the new max manually).</t>
  </si>
  <si>
    <t>Withering Ray</t>
  </si>
  <si>
    <t>Withering Ray — on use, HP auto-deducts (= half [Die]); chat shows the payment.</t>
  </si>
  <si>
    <t>Dark Investiture</t>
  </si>
  <si>
    <t>Dark Investiture — on use, HP auto-deducts (= Tier) + 1 Inv; on a hit the target gains Afflicted and takes [Tier][Die] vital at the start of each of its turns.</t>
  </si>
  <si>
    <t>Dark Investiture — remove the Afflicted icon → the per-turn damage stops.</t>
  </si>
  <si>
    <t>Dark Investiture — confirm the Model A feel is wanted (immediate [Tier][Die] on the hit plus the ongoing tick). Flag if you want ongoing-only.</t>
  </si>
  <si>
    <t>Necrotic Grasp</t>
  </si>
  <si>
    <t>Necrotic Grasp — hit a creature with a Black attack, then heal it → the heal is halved, until the end of your next turn.</t>
  </si>
  <si>
    <t>Blood Price</t>
  </si>
  <si>
    <t>Blood Price — after paying ritual HP, your next Black test rolls with advantage (chat confirms it's spent).</t>
  </si>
  <si>
    <t>Sanguine Reservoir</t>
  </si>
  <si>
    <t>Sanguine Reservoir — the budget bar shows Reserve X / (Black ranks), growing as you pay ritual HP. (Spending Reserve is manual — Scope A.)</t>
  </si>
  <si>
    <t>Predator's Due</t>
  </si>
  <si>
    <t>Predator's Due — regression: heal [Tier][Die] + 1 Inv on reducing a creature to 0.</t>
  </si>
  <si>
    <t>Subjugation (focus economy + control flags; engine-only, name-based)</t>
  </si>
  <si>
    <t>Whispered Doubt</t>
  </si>
  <si>
    <t>Whispered Doubt — GM spends an enemy's focus while it's in your Attunement Range → it loses 1 extra focus (once/round/enemy).</t>
  </si>
  <si>
    <t>Coercive Pressure</t>
  </si>
  <si>
    <t>Coercive Pressure — a creature in range loses focus → its next Cognitive (int/wil) test rolls disadvantage (once/round/creature).</t>
  </si>
  <si>
    <t>Predatory Insight (passive)</t>
  </si>
  <si>
    <t>Predatory Insight (passive) — drop any creature to 0 focus → you regain 1 focus.</t>
  </si>
  <si>
    <t>Predatory Insight (active)</t>
  </si>
  <si>
    <t>Predatory Insight (active) — use it (Special; Opportunity trusted + 1 Inv) → your next Deception test rolls advantage.</t>
  </si>
  <si>
    <t>Siphoned Will</t>
  </si>
  <si>
    <t>Siphoned Will — use Hollow Command while owning Siphoned Will → a focus-confirm chat-card posts; click it (if the command landed) to regain [tier] focus.</t>
  </si>
  <si>
    <t>Composed</t>
  </si>
  <si>
    <t>Composed — regression: +tier max focus.</t>
  </si>
  <si>
    <t>Manual (just confirm the roll/cost fires; control is GM-narrated):</t>
  </si>
  <si>
    <t>Manual (just confirm the roll/cost fires; control is GM-narrated): Hollow Command (Deception vs Spiritual + 1 Inv), Puppeteer (Reaction, 2 Focus + 1 Inv), Extract Thought.</t>
  </si>
  <si>
    <t>Watch-items (couldn't be self-verified; check first if something's off)</t>
  </si>
  <si>
    <t>Test-rider 1d(2 * @skills.black.rank + 2) resolves to a real die in the test (not an error).</t>
  </si>
  <si>
    <t>Watch-item</t>
  </si>
  <si>
    <t>Affliction auto-tick actually fires at the start of the target's turn.</t>
  </si>
  <si>
    <t>Heal-cut interception actually halves the applied heal.</t>
  </si>
  <si>
    <t>Blood Price / Predatory-Insight advantage detection keys off roll.data.skill.id correctly (Black / Deception).</t>
  </si>
  <si>
    <t>Withering Ray's floor((1d…)/2) HP cost resolves.</t>
  </si>
  <si>
    <t>Focus watcher</t>
  </si>
  <si>
    <t>Focus watcher: options.edhaFoc reaches the GM's updateActor (it only fires on GM-initiated focus changes — enemies spending/hitting 0). Player-initiated PC focus changes won't react (expected).</t>
  </si>
  <si>
    <t>Follow-ups (not bugs — pending decisions/work)</t>
  </si>
  <si>
    <t>Hardy max-HP effect is only on the Black copy; the White/Green copies of Hardy still lack it — sync when those trees come up.</t>
  </si>
  <si>
    <t>Follow-up</t>
  </si>
  <si>
    <t>Carry-over from earlier deltas (if never formally run): the 2026-06-13 Weakened rework and the 2026-06-11b v3 pass checklist (see the handoff).</t>
  </si>
  <si>
    <t>White / Coordination</t>
  </si>
  <si>
    <t>Relaunch Foundry</t>
  </si>
  <si>
    <t>Relaunch Foundry (engine changed). Console shows Edha Content | sync API ready ….</t>
  </si>
  <si>
    <t>In a combat: a White PC (White ranks, Investiture, focus) as a GM-run actor OR with a player online — the cross-actor watcher posts cards GM-side, whispered to the owner. Plus ≥2 ally tokens (same disposition) in Attunement Range and an enemy token.</t>
  </si>
  <si>
    <t>applyButtonsTo = Prioritise Targeted (already forced on load).</t>
  </si>
  <si>
    <t>The Plot-Die primitive (edha.raiseStakes)</t>
  </si>
  <si>
    <t>Console: edha.raiseStakes(&lt;select an ally token first&gt;) → that ally's next test rolls a Plot Die (raise-the-stakes box pre-checked in the dialog; the die appears on fast-forward too). A chat line confirms it was spent.</t>
  </si>
  <si>
    <t>edha.raiseStakes(token, "ath") → the Plot Die only attaches to the next Athletics test, persisting across other tests until then (skill-gated).</t>
  </si>
  <si>
    <t>Coordination talents</t>
  </si>
  <si>
    <t>Mending Aura</t>
  </si>
  <si>
    <t>Mending Aura — Special (Opportunity + 1 Inv): cast → place the [Size] burst → Detonate heals floor([Tier][Die]/2) to each ally inside. (Regression — authored earlier.)</t>
  </si>
  <si>
    <t>Guiding Signal</t>
  </si>
  <si>
    <t>Guiding Signal — 1 Action, 1 Inv: use it → a grant card posts listing in-range allies → click one → that ally's next test raises the stakes.</t>
  </si>
  <si>
    <t>Concordant Presence</t>
  </si>
  <si>
    <t>Concordant Presence — passive: an in-range ally makes a skill test → the White PC's player (whispered) gets a grant card for that same skill → click a recipient ally → a DC prompt opens (enter the first ally's test DC) → the Plot Die is granted only if the first ally met the DC (a failure posts "no success — no grant"). (One prompt per skill per round.)</t>
  </si>
  <si>
    <t>Beacon of Stability</t>
  </si>
  <si>
    <t>Beacon of Stability — apply a condition to an ally, then Draw Mana on the White PC → a cleanse card posts → click Ally: Condition → spends 1 Inv, removes that condition. (One condition per Draw Mana.)</t>
  </si>
  <si>
    <t>Shared Conviction</t>
  </si>
  <si>
    <t>Shared Conviction — an in-range ally rolls a low test (Complication or d20 ≤ 10) → the White PC gets a whispered reaction card showing +White mod (rank + WIL) → new total → click → a DC prompt opens → spends 2 Focus + 1 Inv and reports whether the boost turns the failure into a success (or "already meets DC — no boost needed" / "still short of DC X"). Choosing No DC — judge it falls back to posting the boosted total.</t>
  </si>
  <si>
    <t>Pillar of Order</t>
  </si>
  <si>
    <t>Pillar of Order — an in-range ally rolls a Complication → the White PC gets a whispered reaction card → click → spends 1 Inv, posts "Complication negated (blank face)".</t>
  </si>
  <si>
    <t>Unity of Purpose</t>
  </si>
  <si>
    <t>Unity of Purpose — MANUAL (aid is untracked): when 2+ allies aid a test, use edha.raiseStakes(&lt;the testing ally&gt;) to raise the stakes.</t>
  </si>
  <si>
    <t>Manual</t>
  </si>
  <si>
    <t>Ordered Advance</t>
  </si>
  <si>
    <t>Ordered Advance — 2 Actions, 1 Inv: use it → a round note posts; the no-provoke half-Speed movement is GM-narrated.</t>
  </si>
  <si>
    <t>Watch-items (couldn't be self-verified — check first if something's off)</t>
  </si>
  <si>
    <t>Plot Die actually injects via roll.options.plotDie on both fast-forward and dialog rolls (the dialog "Raise the Stakes" box should arrive pre-checked).</t>
  </si>
  <si>
    <t>roll.complicationsCount reads correctly post-roll (fires Pillar of Order / Shared Conviction). A natural-1 d20 (no plot die) should also count as a Complication.</t>
  </si>
  <si>
    <t>Cross-actor grant: clicking a grant button as the player sets the flag on another PC via the set-flag GM relay (needs a GM online).</t>
  </si>
  <si>
    <t>Shared Conviction's @skills.white.rank + @attr.wil resolves to the right number on the owner.</t>
  </si>
  <si>
    <t>The whispered cards reach the owner's player (not just the GM), and the once/round reaction gate holds.</t>
  </si>
  <si>
    <t>No GM online</t>
  </si>
  <si>
    <t>No GM online → the GM-side watcher cards (Concordant/Shared/Pillar) won't post (expected); Guiding Signal/Beacon/edha.raiseStakes still work from the owner's client.</t>
  </si>
  <si>
    <t>Follow-ups / known limits</t>
  </si>
  <si>
    <t>"Success" (Concordant) and "would fail" (Shared Conviction) now resolve via a DC prompt at the card click (2026-06-15) — the engine compares the ally's total to the entered DC instead of eyeballing it. Foundry tests still carry no built-in DC, so the GM supplies it on the spot (or picks "No DC — judge it"). Shared Conviction still only surfaces on plausible failures (Complication / low d20).</t>
  </si>
  <si>
    <t>Pass</t>
  </si>
  <si>
    <t>Pillar of Order negation is a tracked chat note (Complications are a GM narrative resource), not a die re-render (ruling 4).</t>
  </si>
  <si>
    <t>Hardy (White copy) now has the +level max-HP AE (06-14b). The Green copy still lacks it.</t>
  </si>
  <si>
    <t>Reaction economy (1 reaction/round across ALL talents) is only approximated per-talent — GM still tracks the global limit.</t>
  </si>
  <si>
    <t>White / Bulwark</t>
  </si>
  <si>
    <t>Relaunch Foundry, then ⟳ Sync Talents on the White PC (Hardy changed the pack — Sync IS needed this pass).</t>
  </si>
  <si>
    <t>In a combat: a White PC (White ranks, Investiture) GM-run or with a player online (reaction cards post GM-side, whispered to the owner). Allies adjacent / within 10 ft, plus an enemy attacker.</t>
  </si>
  <si>
    <t>Hardy (data-side AE)</t>
  </si>
  <si>
    <t>On the White PC's sheet, Hardy - Max HP appears on the Effects tab; max HP = base + level (nudge current HP up to the new max manually). Inspect-verified at the pack level already.</t>
  </si>
  <si>
    <t>Passives (auto pre-reduction)</t>
  </si>
  <si>
    <t>Shield Wall</t>
  </si>
  <si>
    <t>Shield Wall — stand the White PC with ≥2 allies adjacent; attack one of those adjacent allies → its damage is reduced by floor([Tier][Die]/2) (chat note). With &lt;2 adjacent allies → no reduction.</t>
  </si>
  <si>
    <t>Devoted Conduit</t>
  </si>
  <si>
    <t>Devoted Conduit — fires only on Shared Burden's redirected hit (see below): when the burden-bearer is an in-range ally of a Devoted Conduit owner, the redirected damage is further reduced by floor([Tier][Die]/2).</t>
  </si>
  <si>
    <t>Guardian Stance</t>
  </si>
  <si>
    <t>Guardian Stance — MANUAL: toggle its +1 Deflect AE on the owner (and the adjacent ally's copy) while an ally is adjacent.</t>
  </si>
  <si>
    <t>Reactions (whispered post-damage cards)</t>
  </si>
  <si>
    <t>Interposing Shield</t>
  </si>
  <si>
    <t>Interposing Shield — an ally within 10 ft takes damage → card → spend 1 Inv → ally is healed back floor([Die]/2) + "move 10 ft" note.</t>
  </si>
  <si>
    <t>Shared Burden</t>
  </si>
  <si>
    <t>Shared Burden — an adjacent ally takes D → card → spend 2 Inv → ally healed floor(D/2), owner takes that much (as vital, tagged redirected so Devoted Conduit can cut it).</t>
  </si>
  <si>
    <t>Retributive Guard</t>
  </si>
  <si>
    <t>Retributive Guard — an adjacent ally is hit by an enemy in your Attunement Range → card → spend 1 Inv → deal [Tier][Die] spirit to the attacker (roll White vs Spiritual first; click on success).</t>
  </si>
  <si>
    <t>Unbreakable Line</t>
  </si>
  <si>
    <t>Unbreakable Line — an adjacent ally drops to 0 → card (1/round) → spend 3 Inv → ally set to 1 HP (roll White DC = ceil(½ damage); click on success).</t>
  </si>
  <si>
    <t>Watch-items (couldn't self-verify)</t>
  </si>
  <si>
    <t>Adjacency (Chebyshev ≤ 1 square incl. diagonals) matches table expectations for the token sizes used.</t>
  </si>
  <si>
    <t>evaluateSync rolls the [Tier][Die] reductions in the pre-pass without error.</t>
  </si>
  <si>
    <t>Shared Burden's redirect re-enters the wrapper, Devoted Conduit reduces it, and it does not cascade into more reaction cards.</t>
  </si>
  <si>
    <t>Cross-actor card actions (heal an ally, damage the enemy attacker, revive an ally) work when the owner's player clicks (relays to the GM via burst-apply when the player lacks perms).</t>
  </si>
  <si>
    <t>Cards post only with a GM online (GM-gated watcher).</t>
  </si>
  <si>
    <t>White / Accord</t>
  </si>
  <si>
    <t>Relaunch + ⟳ Sync</t>
  </si>
  <si>
    <t>Relaunch + ⟳ Sync the White PC (leyline pack rebuilt for the Unyielding Accord AE).</t>
  </si>
  <si>
    <t>In a combat: a White PC (GM-run or player online — cards are GM-posted, whispered), allies in range, an enemy.</t>
  </si>
  <si>
    <t>Conditions &amp; cards</t>
  </si>
  <si>
    <t>Collective Resolve</t>
  </si>
  <si>
    <t>Collective Resolve — use it → each in-range ally gains the Determined icon.</t>
  </si>
  <si>
    <t>Overwhelming Authority</t>
  </si>
  <si>
    <t>Overwhelming Authority — target an enemy, use it → card → click → enemy gains Disoriented; it auto-clears at the end of YOUR next turn (chat note). (No test — a flat apply.)</t>
  </si>
  <si>
    <t>Counterpoint</t>
  </si>
  <si>
    <t>Counterpoint — target an enemy, use it (rolls White) → a DC prompt opens (enter the enemy's influence result) → on White ≥ DC it auto-spends 1 Inv, negates the influence, and Disorients the target (owner-relative expiry); on a miss it posts "the influence stands." No target / No DC → falls back to the manual Disorient card.</t>
  </si>
  <si>
    <t>Voice of Authority</t>
  </si>
  <si>
    <t>Voice of Authority — have an enemy in range make an attack → a whispered card posts → spend 1 Inv → the engine keeps the lower of d20-vs-d20 and rewrites the attack's roll card to the disadvantaged total ("updated on its roll card"). As a player with no GM-editable message it relays to the GM; if neither works it falls back to reporting the number. Once/round.</t>
  </si>
  <si>
    <t>Accord (Terms of Accord + Bound by Word)</t>
  </si>
  <si>
    <t>Terms of Accord</t>
  </si>
  <si>
    <t>Terms of Accord — use it → card lists in-range characters → click one → both share an accord (chat note; if you also own Bound by Word, the note says the partner can use your White modifier).</t>
  </si>
  <si>
    <t>Bound by Word</t>
  </si>
  <si>
    <t>Bound by Word — after the accord, have the partner make a skill test → they get a whispered card offering your White modifier (d20 + your mod) in place of their own → click on an objective test → the engine rewrites the partner's roll card to the swapped total ("updated on the roll card"; relays to the GM, or falls back to a reported number). Once/round/skill.</t>
  </si>
  <si>
    <t>Manual (no Foundry hook)</t>
  </si>
  <si>
    <t>Disciplined Mind</t>
  </si>
  <si>
    <t>Disciplined Mind — GM-tracked: you + in-range allies reduce the focus cost to resist influence by 1 (min 1).</t>
  </si>
  <si>
    <t>Unyielding Accord</t>
  </si>
  <si>
    <t>Unyielding Accord — drag the "Unyielding Accord - +1 Cog/Spi" effect from the talent onto each in-range ally adjacent to another ally; remove it when they no longer qualify.</t>
  </si>
  <si>
    <t>Disoriented's owner-relative expiry fires at the end of the OWNER's next turn (not the enemy's), via the apply-timed-status relay stamping expireAfter.</t>
  </si>
  <si>
    <t>The Voice of Authority re-roll math is right and the GM can act on the reported lower total.</t>
  </si>
  <si>
    <t>The accord flag persists on the partner (set via the set-flag relay) and Bound by Word reads it.</t>
  </si>
  <si>
    <t>Determined/Disoriented relays work when a player clicks (target is GM-owned).</t>
  </si>
  <si>
    <t>Blue / Calculation</t>
  </si>
  <si>
    <t>Relaunch (F5 is enough — no ⟳ Sync; nothing on the talents changed).</t>
  </si>
  <si>
    <t>Relaunch (F5 is enough — no ⟳ Sync; nothing on the talents changed). Console shows the module loaded.</t>
  </si>
  <si>
    <t>A Blue PC owning the Calculation talents, an enemy token, and (for Anticipate) an ally in range.</t>
  </si>
  <si>
    <t>Disadvantage-on-next-test (the core primitive)</t>
  </si>
  <si>
    <t>Pattern Recognition</t>
  </si>
  <si>
    <t>Pattern Recognition — target an enemy, use it (pays 1 Inv) → a whispered card posts → click → the enemy's next test rolls disadvantage (a chat note fires when that test happens, then the flag clears). If you had no target, the card says "target the creature, then click".</t>
  </si>
  <si>
    <t>Probability Cascade</t>
  </si>
  <si>
    <t>Probability Cascade — target an enemy, use it (pays Opportunity + 1 Inv; Opportunity is GM-trusted) → card → click → the enemy's next TWO tests roll disadvantage (the consume note counts down "(1 more)" then clears).</t>
  </si>
  <si>
    <t>False Premise</t>
  </si>
  <si>
    <t>False Premise — target an enemy, use it (rolls Blue, pays 1 Inv) → the engine auto-compares your Blue total to the target's Cognitive defense: on ≥ it imposes disadvantage on their next test and posts "Blue X ≥ Cog (Y)"; on a miss it posts "no effect". No target / unreadable defense → manual card.</t>
  </si>
  <si>
    <t>Advantage + Disorient</t>
  </si>
  <si>
    <t>Anticipate</t>
  </si>
  <si>
    <t>Anticipate — use it (pays 1 Inv) → card lists you + in-range (Blue) allies → click one → that character's next test rolls advantage (their "resistance test"; GM-judged which roll).</t>
  </si>
  <si>
    <t>Subtle Suggestion</t>
  </si>
  <si>
    <t>Subtle Suggestion — target the influenced character, use it (pays 1 Inv) → disorient card → click → target gains Disoriented (auto-clears at the end of your next turn via the timed-status pass — see watch-item re: "start" vs "end").</t>
  </si>
  <si>
    <t>Counterspell + passives</t>
  </si>
  <si>
    <t>Counterspell</t>
  </si>
  <si>
    <t>Counterspell — target the activating creature, use it (rolls Blue, pays 2 Foc + 1 Inv) → the engine auto-compares Blue vs the target's Cognitive defense and posts the verdict: on ≥, "the activated talent fails"; on a miss, "the talent resolves as normal". No target / unreadable defense → reminder note.</t>
  </si>
  <si>
    <t>Composed — max focus shows +tier (data-side AE, already built; ⟳ Sync if the owned copy is stale).</t>
  </si>
  <si>
    <t>Baleful</t>
  </si>
  <si>
    <t>Baleful — manual: GM adds +tier focus to the cost of resisting your influence (no Foundry hook).</t>
  </si>
  <si>
    <t>Watch-items (couldn't self-verify — no Foundry session this pass)</t>
  </si>
  <si>
    <t>Contest auto-resolution</t>
  </si>
  <si>
    <t>Contest auto-resolution (2026-06-15): the skill_test talents (False Premise, Counterspell, Read Intent, Ghostly Walls, Redirect Momentum, Counterpoint) capture their own Blue/White roll via the contest-watcher and resolve against the target's defense. Confirm useItem fires for these and that the talent's d20 test is the one matched (the resolver matches the roll tied to that use, in either fire order, even through a slow roll dialog). If a talent's roll dialog is cancelled, nothing applies (expected — no roll, no contest).</t>
  </si>
  <si>
    <t>nextTestMod injects (dis)advantage exactly like the advTest/cogDisadv flags (pre-roll set + post-roll consume), decrements per test, and clears at 0 — across skill / attack / item rolls.</t>
  </si>
  <si>
    <t>The set-flag relay applies nextTestMod onto a GM-owned enemy when a player clicks.</t>
  </si>
  <si>
    <t>Subtle Suggestion's Disorient lasts the right window (text says "until the start of your next turn"; the engine uses the established Disoriented expiry = end of your next turn — a one-turn over-extension; see the handoff note for Ben).</t>
  </si>
  <si>
    <t>The "next test" with skill:null doesn't accidentally swallow an unrelated roll the target makes before the intended one (it consumes the literal next d20 test of any kind).</t>
  </si>
  <si>
    <t>Blue / Illusion</t>
  </si>
  <si>
    <t>F5/relaunch</t>
  </si>
  <si>
    <t>F5/relaunch (engine only — no ⟳ Sync, no rebuild). The summoning user needs ACTOR_CREATE perm (GM, or a player the GM granted it).</t>
  </si>
  <si>
    <t>A Blue PC owning the Illusion talents, an ally token + an enemy token, in a combat.</t>
  </si>
  <si>
    <t>Summons (the real builds)</t>
  </si>
  <si>
    <t>Phantom Barricade</t>
  </si>
  <si>
    <t>Phantom Barricade — use it (1 Inv) → a friendly "Phantom Barricade" token spawns next to you with HP = 2[Die] (2d(2·blue rank+2)), defenses 0/0/0, no attack, speed 0. Reposition it to block the lane; it survives until HP 0 / scene end. Use again → a second barricade (sustain-multiple).</t>
  </si>
  <si>
    <t>Phantom Double</t>
  </si>
  <si>
    <t>Phantom Double — target an ally (or no target = yourself), use it (2 Inv) → a token copying that creature's art + name ("… (Illusion)") spawns with HP 1; a prior Phantom Double of yours is removed first (max 1). Deal any damage to it → it auto-deletes ("the illusion … dissipates" chat line). Perception-vs-Blue-defense + the "advantage vs those who failed" are GM-run (the use-note reminds you).</t>
  </si>
  <si>
    <t>Holographic Illusion</t>
  </si>
  <si>
    <t>Holographic Illusion — use it (1 Inv) → a no-stats "Holographic Illusion" token spawns sized to [Size] (1 sq at rank 1–2, larger at higher rank). Static; move/edit by hand.</t>
  </si>
  <si>
    <t>Living Image</t>
  </si>
  <si>
    <t>Living Image — use it → a note: illusions may move/interact; 1 Inv/round upkeep is manual.</t>
  </si>
  <si>
    <t>Ghostly Walls + Redirect</t>
  </si>
  <si>
    <t>Ghostly Walls</t>
  </si>
  <si>
    <t>Ghostly Walls — target an enemy, use it (rolls Blue, pays 2 Inv) → the engine auto-compares Blue vs the target's Cognitive defense: on ≥ it auto-applies Immobilized (move 0), auto-clearing at the end of YOUR next turn (not the enemy's), and posts the verdict; on a miss, "no effect". No target / unreadable defense → manual immobilize card.</t>
  </si>
  <si>
    <t>Absolute Stillness</t>
  </si>
  <si>
    <t>Absolute Stillness (own it too) — on a successful Ghostly Walls the target ALSO auto-gains Weakened (disadvantage on Physical str/spd tests). "Cannot take Reactions" is GM-tracked.</t>
  </si>
  <si>
    <t>Redirect Momentum</t>
  </si>
  <si>
    <t>Redirect Momentum — target the mover, use it (rolls Blue, pays 1 Inv) → the engine auto-rolls the mover's Athletics (rank + Strength) and compares: on Blue ≥ Athletics it posts "reduce remaining move by [Size] / push [Size] ft" (2.5/5/10/15/20 by Blue rank; GM positions the token); on a miss, "it keeps its momentum". No target → reminder card.</t>
  </si>
  <si>
    <t>Phantom Step</t>
  </si>
  <si>
    <t>Phantom Step — passive: an ally in range may move +[Size] ft without provoking Reactions (GM-narrated; nothing fires).</t>
  </si>
  <si>
    <t>edhaSummon rolls the barricade HP with the right die faces, spawns defenses 0 (defensePenalty 99), and the token sizing (tokenSizeFt) lands for Holographic Illusion.</t>
  </si>
  <si>
    <t>Phantom Double copies the chosen creature's token texture (edhaTokenArt) and the delete-on-hit fires via the updateActor HP-watch (and edhaClearPhantomDoubles enforces max 1).</t>
  </si>
  <si>
    <t>Ghostly Walls' immobilized expires at the end of the OWNER's next turn (owner-relative stamp overwrites the target-relative auto-stamp), and the Absolute Stillness Weakened rider lands.</t>
  </si>
  <si>
    <t>Blue / Foresight</t>
  </si>
  <si>
    <t>F5/relaunch (engine only — no ⟳ Sync, no rebuild). A Blue PC owning the Foresight talents, an enemy in range, in a combat.</t>
  </si>
  <si>
    <t>The automated talents</t>
  </si>
  <si>
    <t>Intercept</t>
  </si>
  <si>
    <t>Intercept — target the designated creature, use it (pays 1 Inv) → card → click → that creature's next test rolls disadvantage (nextTestMod).</t>
  </si>
  <si>
    <t>Reactive Analysis</t>
  </si>
  <si>
    <t>Reactive Analysis — use it (pays 1 Inv) after an in-range creature fails a test → your next test rolls advantage (chat note; consumed on your next test).</t>
  </si>
  <si>
    <t>Read Intent</t>
  </si>
  <si>
    <t>Read Intent — target a creature, use it (rolls Blue, pays 1 Inv) → the engine auto-compares Blue vs the target's Cognitive defense and posts the verdict; on a success it prompts the GM to reveal the creature's intended action (the reveal stays narrative). No target / unreadable defense → reminder note.</t>
  </si>
  <si>
    <t>Collected</t>
  </si>
  <si>
    <t>Collected — Cognitive &amp; Spiritual defenses show +2 (data-side AE, already built; ⟳ Sync a stale owned copy).</t>
  </si>
  <si>
    <t>The Calculated Patience toggle</t>
  </si>
  <si>
    <t>Select your token (or pass an actor/name) → console: edha.calculatedPatience() → your next test rolls advantage (a chat note posts). Use it when you take a slow turn.</t>
  </si>
  <si>
    <t>Forewarned</t>
  </si>
  <si>
    <t>Forewarned — silently declare a character + action each round; if they take it before your next turn you gain 1 Reaction (GM/player-tracked).</t>
  </si>
  <si>
    <t>Telepathic Network</t>
  </si>
  <si>
    <t>Telepathic Network — in-range allies join your network for the scene and "share your expertise" (GM-applied).</t>
  </si>
  <si>
    <t>Probable Outcome</t>
  </si>
  <si>
    <t>Probable Outcome — you may change your fast/slow turn choice after others choose (GM-adjudicated).</t>
  </si>
  <si>
    <t>nextTestMod advantage (Reactive Analysis / Calculated Patience) and disadvantage (Intercept) apply and clear correctly on the next test.</t>
  </si>
  <si>
    <t>edha.calculatedPatience() resolves the selected token / passed actor and sets the flag.</t>
  </si>
  <si>
    <t>Red — Momentum + Frenzy</t>
  </si>
  <si>
    <t>node scripts/foundry-build.js leyline (Foundry CLOSED) → node scripts/validate-packs.js (expect PASS).</t>
  </si>
  <si>
    <t>Relaunch Foundry; on a Red PC click ⟳ Sync Talents. Console lists handlers incl. move, push, rally-stack.</t>
  </si>
  <si>
    <t>In combat: a Red PC (Red ranks, Investiture, Speed set) + an enemy, with a wall nearby for collision tests.</t>
  </si>
  <si>
    <t>Momentum — movement enforcement (the pilot)</t>
  </si>
  <si>
    <t>Reckless Advance</t>
  </si>
  <si>
    <t>Reckless Advance — target a creature, use it → your token slides toward it ([Size] ft, stops a half-token short), chat: "moves N ft … ignoring Reactions". With a wall between you → stops at the wall.</t>
  </si>
  <si>
    <t>Explosive Leap</t>
  </si>
  <si>
    <t>Explosive Leap — use with a target → you leap [Size] ft; chat reminds the 5-ft Prone test (GM-applied).</t>
  </si>
  <si>
    <t>Unstoppable</t>
  </si>
  <si>
    <t>Unstoppable — on a Fast turn, deal damage → you move half Speed toward your target, once per turn (second damage same turn does nothing). On a Slow turn → no move.</t>
  </si>
  <si>
    <t>Shockwave Slam</t>
  </si>
  <si>
    <t>Shockwave Slam — hit an enemy with a melee impact attack → it is pushed [Size] ft away; if it hits a wall, chat shows half [Tier][Die] impact collision damage and its HP drops.</t>
  </si>
  <si>
    <t>Volatile Strike</t>
  </si>
  <si>
    <t>Volatile Strike — melee-hit a creature → an optional "spend 1 Investiture" card; clicking it adds half [Tier][Die] impact to the victim.</t>
  </si>
  <si>
    <t>Burning Drive</t>
  </si>
  <si>
    <t>Burning Drive — on a Fast turn, your first str/spd test gains +half [Die]; your 2nd test that turn does not; on a Slow turn, neither.</t>
  </si>
  <si>
    <t>Momentum's Edge</t>
  </si>
  <si>
    <t>Momentum's Edge — move ≥ 20 ft toward a creature this turn, then Strike (impact) → bonus impact = your Speed. Moving &lt; 20 ft (or away) → no bonus. *(If the bonus reads 0, @movement.walk.rate isn't in roll data — see pilot doc item 1.)*</t>
  </si>
  <si>
    <t>Frenzy</t>
  </si>
  <si>
    <t>Battle Fever</t>
  </si>
  <si>
    <t>Battle Fever — deal damage → you gain +1 to your next test (chat), stacking to max = Red rank; the bonus shows in your next d20 breakdown and clears at the start of your turn. Allies apply the same +N themselves.</t>
  </si>
  <si>
    <t>Feeding Frenzy</t>
  </si>
  <si>
    <t>Feeding Frenzy — edha.rally(token) bumps the same stack (cap = rank), clears at the start of the round.</t>
  </si>
  <si>
    <t>Breaking Point</t>
  </si>
  <si>
    <t>Breaking Point — an enemy in Attunement Range takes damage a 2nd time in a round → it becomes Disoriented (once/round/creature); the first hit does nothing.</t>
  </si>
  <si>
    <t>Shatter Focus</t>
  </si>
  <si>
    <t>Shatter Focus — target an enemy that failed a test, use it → it loses 1 focus.</t>
  </si>
  <si>
    <t>Emotional Overload</t>
  </si>
  <si>
    <t>Emotional Overload — target a creature, use it → disadvantage on its next test (GM: only a non-attack test).</t>
  </si>
  <si>
    <t>Reckless Gambit</t>
  </si>
  <si>
    <t>Reckless Gambit — target a creature, use it → it gains advantage on its next test and becomes Exhausted.</t>
  </si>
  <si>
    <t>Reckless Momentum</t>
  </si>
  <si>
    <t>Reckless Momentum — use it → Plot Die flagged on your next test this turn.</t>
  </si>
  <si>
    <t>Frenzied Tempo</t>
  </si>
  <si>
    <t>Frenzied Tempo — on a Fast turn, your Presence (Influence) tests roll advantage; leyline-skill casts are excluded; Slow turn → none.</t>
  </si>
  <si>
    <t>Incite</t>
  </si>
  <si>
    <t>Incite — use it → card describing the forced Strike / lose-Reaction (GM resolves the forced action — the one un-automatable bit).</t>
  </si>
  <si>
    <t>Push/leap respect walls (CONFIG.Canvas.polygonBackends.move); if not, they travel full distance (still functional).</t>
  </si>
  <si>
    <t>Pushing a GM-owned enemy as a player relays via the move-token socket (one GM online).</t>
  </si>
  <si>
    <t>turnSpeed flag reads as expected (fast-turn talents fire only on Fast turns).</t>
  </si>
  <si>
    <t>exhausted toggles on NPCs (Reckless Gambit) via the relay.</t>
  </si>
  <si>
    <t>Conflagration completion + Key (2026-06-15)</t>
  </si>
  <si>
    <t>Searing Bolt</t>
  </si>
  <si>
    <t>Searing Bolt — already native (skill_test Red attack, auto-consumes 1 Investiture, rolls [Tier][Die] energy). Confirm: using it makes a Red attack, deducts 1 Inv, deals energy, and triggers Afterburn / Arc Flash / Chain Detonation / Kindle off that energy damage. (No rider authored — its energy damage is the Conflagration enabler.)</t>
  </si>
  <si>
    <t>Red Leyline Attunement (Key)</t>
  </si>
  <si>
    <t>Red Leyline Attunement (Key) — Draw Mana → recover Tier Investiture and your next Physical (str/spd) test rolls advantage (chat note; consumed on that test). A Cognitive/Influence test in between does not consume it. The "lose your Reaction" clause is GM-tracked (no reaction engine).</t>
  </si>
  <si>
    <t>Green / Territory</t>
  </si>
  <si>
    <t>Full relaunch (engine changed); console shows the native event system registered.</t>
  </si>
  <si>
    <t>⟳ Sync Talents</t>
  </si>
  <si>
    <t>⟳ Sync Talents on the Green PC (leyline pack was rebuilt — Apex Predator / Thorn Field / Sudden Growth changed).</t>
  </si>
  <si>
    <t>In combat: a Green PC (Green ranks + Investiture) + ≥3 enemy tokens + an ally token (for Pack Sense).</t>
  </si>
  <si>
    <t>Difficult terrain is real &amp; enforced</t>
  </si>
  <si>
    <t>Green Draw Mana</t>
  </si>
  <si>
    <t>Green Draw Mana drops a Region (not just a circle): players see a green 🌿 drawing; planning a move through it costs double (native difficult terrain).</t>
  </si>
  <si>
    <t>The Region carries the ownership tag (it counts as "your" terrain below) and can be dragged to a point in range.</t>
  </si>
  <si>
    <t>Sudden Growth</t>
  </si>
  <si>
    <t>Sudden Growth — click-to-place + Detonate drops a [Size] difficult-terrain Region (Opportunity trusted + 1 Inv).</t>
  </si>
  <si>
    <t>Thorn Field (passive rider)</t>
  </si>
  <si>
    <t>With Thorn Field owned, terrain you create (Draw Mana / Sudden Growth) also deals ½[Tier][Die] keen to creatures that enter / start their turn in it (chat line).</t>
  </si>
  <si>
    <t>Without</t>
  </si>
  <si>
    <t>Without Thorn Field, the same terrain is difficult-only (no damage). Thorn Field's own talent is now passive (no clickable attack).</t>
  </si>
  <si>
    <t>Membership talents</t>
  </si>
  <si>
    <t>Apex Predator</t>
  </si>
  <si>
    <t>Apex Predator — with ≥3 enemies standing in your terrain, your Physical (str/spd) tests roll advantage; drop below 3 → no advantage. Confirm it doesn't override an active disadvantage (e.g. Weakened).</t>
  </si>
  <si>
    <t>Pack Sense</t>
  </si>
  <si>
    <t>Pack Sense — an ally attacks a target inside your terrain → you get a whispered card; spend 1 Inv → the note adds your Green modifier to their result.</t>
  </si>
  <si>
    <t>Spreading Roots</t>
  </si>
  <si>
    <t>Spreading Roots — a creature ends its turn in your terrain → whispered card; spend 1 Inv → the Region grows [Size] (drawing grows too).</t>
  </si>
  <si>
    <t>Conditions (auto on success / on use)</t>
  </si>
  <si>
    <t>Grasping Vines</t>
  </si>
  <si>
    <t>Grasping Vines — target an enemy in range, use it → target gains Restrained (chat note re: maintenance).</t>
  </si>
  <si>
    <t>Territorial Instinct</t>
  </si>
  <si>
    <t>Territorial Instinct — target a fleeing enemy, use as a Reaction → target gains Immobilized (auto-expires end of its next turn).</t>
  </si>
  <si>
    <t>modifyMovementCost actually doubles the planned move cost at the table (and players can see the drawing).</t>
  </si>
  <si>
    <t>Pack Sense reads the attacker's target via synced user.targets on the GM client; the card only posts when a GM is online.</t>
  </si>
  <si>
    <t>Spreading Roots resolves the just-ended combatant's token (combat.previous.turn) and the grow-terrain relay updates the Region for a player clicker.</t>
  </si>
  <si>
    <t>Immobilized "this turn" lands ~one turn long under the next-turn expiry convention — confirm that's acceptable, else tighten.</t>
  </si>
  <si>
    <t>Primal Awareness</t>
  </si>
  <si>
    <t>Primal Awareness stays manual (no Surprise/outdoors/track hooks) — confirm that's fine.</t>
  </si>
  <si>
    <t>Green / Restoration</t>
  </si>
  <si>
    <t>Relaunch + ⟳ Sync Talents on the Green PC (Hardy changed the pack).</t>
  </si>
  <si>
    <t>In combat: a Green PC with Investiture + an injured/below-half ally token + an enemy that can apply a condition.</t>
  </si>
  <si>
    <t>Hardy — max HP increases by your level (nudge current HP up to the new max by hand).</t>
  </si>
  <si>
    <t>The green-heal trigger (use Verdant Mend or Mender's Instinct to heal an ally)</t>
  </si>
  <si>
    <t>Resurgent Growth</t>
  </si>
  <si>
    <t>Resurgent Growth — heal an ally → at the start of your next turn they regain tier + Green mod (chat line), only if still in Attunement Range; move them out of range first → no regrowth.</t>
  </si>
  <si>
    <t>Vital Surge</t>
  </si>
  <si>
    <t>Vital Surge — heal an ally that was below half HP → whispered card; spend 1 Inv → they gain ½[Tier][Die] Temp HP (THP keeps the higher if they already had some).</t>
  </si>
  <si>
    <t>Natural Recovery</t>
  </si>
  <si>
    <t>Natural Recovery — heal a conditioned ally → whispered card lists Afflicted/Disoriented/Stunned/Weakened present → click one → it's removed (Opportunity trusted).</t>
  </si>
  <si>
    <t>Riders fire for both Verdant Mend (clickable heal) and Mender's Instinct (reaction heal).</t>
  </si>
  <si>
    <t>Reknit Form (enforced injury removal)</t>
  </si>
  <si>
    <t>Target a creature with an injury Item, use Reknit Form → whispered card lists their injuries with the cost (2 Inv temporary / 3 Inv permanent) → click → the injury is deleted + Investiture spent.</t>
  </si>
  <si>
    <t>A creature with no injuries → "no removable injuries" notice (no card).</t>
  </si>
  <si>
    <t>Verdant Mend's heal application carries the dealer item so it's detected as green (else the _edhaLastDealer fallback catches it).</t>
  </si>
  <si>
    <t>Cross-actor relays: THP via set-flag (healing another player's PC) and injury delete via delete-item (GM online).</t>
  </si>
  <si>
    <t>Resurgent Growth resolves exactly at the owner's turn start and clears its queue.</t>
  </si>
  <si>
    <t>Green / Instinct</t>
  </si>
  <si>
    <t>Relaunch + ⟳ Sync Talents (the pack was rebuilt: Drive the Prey's Slowed rule + indicator AEs on Predator's Instinct / Packmate's Warning / Natural Order).</t>
  </si>
  <si>
    <t>In combat: a Green PC + ≥1 ally token + an enemy. Confirm the PC owns the Instinct talents being tested.</t>
  </si>
  <si>
    <t>Advantage-granting (the advAttackNext primitive)</t>
  </si>
  <si>
    <t>Pack Hunter</t>
  </si>
  <si>
    <t>Pack Hunter — target an enemy, use it → you (and each ally adjacent to that enemy) get advantage on your next attack (chat line); the next attack roll shows advantage, then clears.</t>
  </si>
  <si>
    <t>Scent the Weak</t>
  </si>
  <si>
    <t>Scent the Weak — use it → chat names the lowest-HP creature in Attunement Range; your next attack rolls advantage (once/round).</t>
  </si>
  <si>
    <t>Forced movement</t>
  </si>
  <si>
    <t>Drive the Prey</t>
  </si>
  <si>
    <t>Drive the Prey — target an enemy, use it (2 Inv) → the enemy gains Slowed (data-side rule on the talent's Events tab; you roll the Green vs Survival; forced move + ally Reactive Strikes are GM-narrated).</t>
  </si>
  <si>
    <t>Damage bonuses (applyDamage pre-pass)</t>
  </si>
  <si>
    <t>Coordinated Hunt</t>
  </si>
  <si>
    <t>Coordinated Hunt — have an ally attack an enemy this round, then you attack &amp; hit it → your damage gains +min(#attackers, Green rank) (chat line names the hunter count).</t>
  </si>
  <si>
    <t>Pack Pressure</t>
  </si>
  <si>
    <t>Pack Pressure — use it, then Strike during the window (before your next turn) → +[Tier][Die] on the hit; after your next turn starts, the bonus stops.</t>
  </si>
  <si>
    <t>Manual (indicator AE on the sheet + reminder on use)</t>
  </si>
  <si>
    <t>Predator's Instinct / Packmate's Warning / Natural Order</t>
  </si>
  <si>
    <t>Predator's Instinct / Packmate's Warning / Natural Order — each shows a toggle-able indicator effect on the sheet (Effects tab) and posts its reminder; the mechanical effects are GM-narrated.</t>
  </si>
  <si>
    <t>advAttackNext seeds advantage through the roll dialog (not just fast-forward) and clears after one attack.</t>
  </si>
  <si>
    <t>Focus-fire counts the right attackers via synced user.targets (GM online); resets each round.</t>
  </si>
  <si>
    <t>Pack Pressure window expires exactly at the start of the owner's next turn.</t>
  </si>
  <si>
    <t>Coordinated Hunt / Pack Pressure apply to the owner's strikes only (ally strikes GM-narrated) — confirm that's acceptable.</t>
  </si>
  <si>
    <t>Destruction (Razkael, deity)</t>
  </si>
  <si>
    <t>⟳ Sync Talents on the Destruction PC (Set Charge + Fault Line had their authored events removed → pack rebuilt with foundry-build deity).</t>
  </si>
  <si>
    <t>In combat: a Destruction PC (Red ranks + Investiture) + several enemy tokens, including one Construct (customType: "Construct") and one with deflect &gt; 0.</t>
  </si>
  <si>
    <t>Set Charge + Detonate (the spine) ⚑</t>
  </si>
  <si>
    <t>Set Charge</t>
  </si>
  <si>
    <t>Set Charge (1 Inv) → click-to-place a marker template; a "Charges set" card appears with Detonate #n + Detonate ALL buttons. Right-click/Esc cancels → Inv refunded.</t>
  </si>
  <si>
    <t>Set more than tier Charges → the oldest fizzles (marker removed), count stays at tier.</t>
  </si>
  <si>
    <t>Detonate #n</t>
  </si>
  <si>
    <t>Detonate #n (Free) → enemies within 10 ft take [Tier][Die] energy + the point becomes a dangerous-terrain Region (🔥 drawing, damage on enter / turn-start); the marker is removed.</t>
  </si>
  <si>
    <t>Charges + markers fizzle at scene/combat end (deleteCombat clears charges + stale templates).</t>
  </si>
  <si>
    <t>Pinpoint / Cascading / The Unmooring ⚑</t>
  </si>
  <si>
    <t>Pinpoint Charge</t>
  </si>
  <si>
    <t>Pinpoint Charge (Free, 1 Inv) → marks the latest Charge ⊕; on detonation the primary target takes extra [Tier][Die]+Int keen and its deflect is ignored (hit bumped by its deflect value).</t>
  </si>
  <si>
    <t>Cascading Failure</t>
  </si>
  <si>
    <t>Cascading Failure (2 Inv) → detonates all Charges; a foe caught in 2+ blasts takes an extra [Tier][Die]; with ≥2 Charges the chat notes the zones merge.</t>
  </si>
  <si>
    <t>The Unmooring</t>
  </si>
  <si>
    <t>The Unmooring (3 Inv, once/scene) → all Charges detonate at 15 ft, +Int, ignore deflect; second use same scene is blocked.</t>
  </si>
  <si>
    <t>Concussive Yield + Fault Line ⚑</t>
  </si>
  <si>
    <t>With Concussive Yield owned, every Charge detonation rolls each caught foe's Speed vs your Red DC and applies core Prone on a fail (one chat card; engine rolls the foes — confirm it never auto-prones on a success).</t>
  </si>
  <si>
    <t>Fault Line</t>
  </si>
  <si>
    <t>Fault Line (2 Inv) → click a direction; a 60×5 ft line (rotated-rectangle hazard) deals [Tier][Die]+Str energy, runs the Speed-vs-Red→Prone test, and Constructs take ×3. Watch the rectangle's rotation/anchor (untested geometry).</t>
  </si>
  <si>
    <t>Combustion Chain + Walking Ruin</t>
  </si>
  <si>
    <t>Combustion Chain</t>
  </si>
  <si>
    <t>Combustion Chain — drop an enemy to 0 HP while it stands in your dangerous terrain → it auto-fires (a fresh 10 ft zone ignites on the body + a "spread your zones 5 ft" card). Confirm it does NOT fire for bodies outside your terrain.</t>
  </si>
  <si>
    <t>Walking Ruin</t>
  </si>
  <si>
    <t>Walking Ruin — use to toggle ON (chat note); +10 ft Speed is passive (AE). While on, moving drops a dangerous-terrain patch at the vacated square (one per move step). Toggle OFF / scene end stops it. Watch terrain volume over a long move.</t>
  </si>
  <si>
    <t>Watch-items (couldn't self-verify — no Foundry session)</t>
  </si>
  <si>
    <t>Fault Line rectangle Region: rotation about center vs corner, and the one-end-at-caster anchor — adjust the math if the line sits wrong.</t>
  </si>
  <si>
    <t>Deflect-ignore bump assumes system.deflect.value and that applyDamage subtracts deflect on energy/keen — verify the net equals "ignores deflect".</t>
  </si>
  <si>
    <t>Construct ×3 detection via system.customType === "Construct" — confirm against a real adversary; structures (walls) still have no actor (GM-side).</t>
  </si>
  <si>
    <t>Combustion auto-fire uses the GM-side updateActor hp≤0 hook + edhaTokenInOwnedTerrain — confirm it reads the body's token position correctly.</t>
  </si>
  <si>
    <t>Player (non-GM) detonation/terrain relays through the place-hazard-region + burst-apply socket (a GM must be online).</t>
  </si>
  <si>
    <t>Sovereignty (Verdannis, deity)</t>
  </si>
  <si>
    <t>Full relaunch (engine changed); console shows exalted + diminished in the custom-status registration line.</t>
  </si>
  <si>
    <t>⟳ Sync Talents on the Sovereignty PC (the 7 die-step cards were re-worded "die size for all tests" → "damage die size"; pack rebuilt with foundry-build deity on the Foundry machine).</t>
  </si>
  <si>
    <t>In combat: a Sovereignty PC (Black + White ranks, Investiture) + one allied PC + several enemies, at least one whose weapon damage uses a ladder die (d4–d12) and one with an off-ladder die (e.g. flat or d20) to confirm it's left alone.</t>
  </si>
  <si>
    <t>The die-step primitive (the spine) ⚑</t>
  </si>
  <si>
    <t>Censure</t>
  </si>
  <si>
    <t>Censure (1 Inv) on a targeted enemy → rolls Black vs its Cognitive defense; on a success only, the enemy gains the Diminished icon and its next damage roll's dice are stepped DOWN one (e.g. 2d8 → 2d6, visible in the roll breakdown). On a fail: verdict card, no icon, no step.</t>
  </si>
  <si>
    <t>A d4 weapon stays d4 (floor); dice off the d4–d12 ladder are untouched.</t>
  </si>
  <si>
    <t>Exalt</t>
  </si>
  <si>
    <t>Exalt (1 Inv) on a targeted ally → Exalted icon; their damage dice step UP one (d8 → d10, max d12).</t>
  </si>
  <si>
    <t>Both timed effects expire after the caster's next turn (the sweep clears the entry + icon; convention: "start of your next turn" lands end-of-owner-next-turn — one turn generous).</t>
  </si>
  <si>
    <t>Buff + debuff entries stack (Exalt + Sovereign's Balance on the same ally = net +2 steps; the d4/d12 clamp is the only rail).</t>
  </si>
  <si>
    <t>Scene-length + once-per gates ⚑</t>
  </si>
  <si>
    <t>Decree of Ruin</t>
  </si>
  <si>
    <t>Decree of Ruin (2 Inv) → success = Diminished for the scene (survives your turns; clears at combat end); failure still applies the timed −1. A second use on the SAME creature this scene is refused before any cost is paid.</t>
  </si>
  <si>
    <t>Investiture of Authority</t>
  </si>
  <si>
    <t>Investiture of Authority (2 Inv) → scene-long +1 that replaces your Exalt entry on that ally (net stays +1, not +2); once per ally per scene (repeat refused, no cost).</t>
  </si>
  <si>
    <t>Edict of the Fallen</t>
  </si>
  <si>
    <t>Edict of the Fallen (2 Inv, 2 Actions) → success = −2 steps on ATTACK damage only for the scene (a non-attack talent damage roll is NOT stepped by it); failure = timed −1 on all damage.</t>
  </si>
  <si>
    <t>Sovereignty</t>
  </si>
  <si>
    <t>Sovereignty (3 Inv, capstone) → ally +2 / enemy −2 for the scene; a second cast this scene is refused. All scene entries, icons, and once-per stamps clear at combat end (deleteCombat).</t>
  </si>
  <si>
    <t>The GM-side watchers (Expose / Edict THP / Balance / Sovereignty) ⚑</t>
  </si>
  <si>
    <t>Expose</t>
  </si>
  <si>
    <t>Expose — a Censure/Decree-Diminished enemy makes an attack (target synced) that fails (total &lt; the target's Physical defense) → the owner auto-recovers 1 Investiture (no cap); if the attack's target is the owner's ally in White range, a Reactive Strike prompt card names them (the strike itself is by hand). Confirm NO recovery on a hit.</t>
  </si>
  <si>
    <t>Expose fallback</t>
  </si>
  <si>
    <t>Expose fallback — the same enemy makes a skill test (no DC readable) → the owner gets a whispered card with an "It failed — recover 1 Investiture" button (owner-judged).</t>
  </si>
  <si>
    <t>Edict THP rider</t>
  </si>
  <si>
    <t>Edict THP rider — the Edict-marked enemy fails an attack test → each ally in the owner's White range gains THP = the owner's Tier (keeps-the-higher, never stacks).</t>
  </si>
  <si>
    <t>Sovereign's Balance</t>
  </si>
  <si>
    <t>Sovereign's Balance (2 Inv) — target ONE ally + ONE enemy, then use → both stepped, timed. If the ally hits that enemy in the cast round (attack total ≥ its Physical defense), both effects auto-extend one round, once (card announces it). No extension on a later-round hit.</t>
  </si>
  <si>
    <t>Sovereignty hit card</t>
  </si>
  <si>
    <t>Sovereignty hit card — each detected ally→enemy hit posts the "no reactions until the start of its next turn" card (denial itself is GM-enforced).</t>
  </si>
  <si>
    <t>Sovereign's Favor + costs</t>
  </si>
  <si>
    <t>Sovereign's Favor</t>
  </si>
  <si>
    <t>Sovereign's Favor owned → each Exalt also grants the ally THP = [Tier][Die on White] (rolled; re-Exalting keeps the HIGHER THP — never stacks). Investiture of Authority does NOT trigger it (literal "when you use Exalt").</t>
  </si>
  <si>
    <t>Every active pays its Investiture through its own use; bad targeting (no enemy / no ally+enemy pair / once-per repeat) warns without charging.</t>
  </si>
  <si>
    <t>The damage-die rewrite bakes the formula then steps ladder dice via regex — check a graze roll, a damage roll with riders (Kindle-style bonuses step too: they're the roller's own damage), and that the chat breakdown shows the stepped die.</t>
  </si>
  <si>
    <t>edhaSovIsAttackItem (weapon type / system.attack / activation "attack") is the Edict scope gate — confirm a real adversary attack matches and a utility talent doesn't.</t>
  </si>
  <si>
    <t>Hit/fail detection reads the synced target's Physical defense only (attacks vs Cog/Spi defenses won't auto-resolve — they fall back to the Expose click card / no Balance extension).</t>
  </si>
  <si>
    <t>Player (non-GM) casts write die-steps to GM-owned enemies via the set-flag/toggle-status relays (a GM must be online); the watchers + sweep run on the GM client.</t>
  </si>
  <si>
    <t>Out-of-combat casts stamp their expiry lazily on the first combat turn change ("owner-next").</t>
  </si>
  <si>
    <t>Death (Morrath, deity)</t>
  </si>
  <si>
    <t>Full relaunch (engine changed); console shows harvested + decaying in the custom-status registration line — and both icons render with their green tint on a token (if the tint doesn't render, fall back to a distinct icon file — one-row change in EDHA_STATUSES).</t>
  </si>
  <si>
    <t>⟳ Sync Talents on the Death PC (Death Ward + Necrotic Cascade had their authored events removed and Necrotic Cascade gained an on-item formula → pack rebuilt with foundry-build deity on the Foundry machine).</t>
  </si>
  <si>
    <t>In combat: a Death PC (Black + Green ranks, Investiture) + one allied PC + several enemies — at least one Weakened, one below half HP, and one healthy full-HP enemy (for the Consuming Decay gate).</t>
  </si>
  <si>
    <t>Reaper's Harvest + the Remains pool (the spine) ⚑</t>
  </si>
  <si>
    <t>Drop an enemy to 0 HP within the owner's Green Attunement Range → the owner auto-recovers 1 Investiture, the corpse gains the green Harvested skull (beside the black defeated overlay), and a whispered card shows the running Remains count.</t>
  </si>
  <si>
    <t>A PC dropping to 0 does NOT harvest (Ben R2); a Risen Servant dropping does NOT harvest (summons dissolve); a drop outside Green range does NOT harvest.</t>
  </si>
  <si>
    <t>Healing the same enemy above 0 and re-dropping it harvests again (each is a real live→0 crossing) — flag if that plays wrong at the table.</t>
  </si>
  <si>
    <t>With Remains at cap = tier, another harvest makes the oldest fizzle (its icon clears), count stays at tier.</t>
  </si>
  <si>
    <t>Fresh scene, nothing harvested yet → the pool reads 1 (the scene-start freebie: spend a Remain without ever harvesting). All Remains, icons, and armed flags clear at combat end (deleteCombat).</t>
  </si>
  <si>
    <t>Withering Touch + Consuming Decay ⚑</t>
  </si>
  <si>
    <t>Withering Touch</t>
  </si>
  <si>
    <t>Withering Touch (1 Inv) → arm card posts; your next weapon hit auto-deals the talent's [Tier][Die]+Willpower vital on top AND the target gains "No Healing" — a heal instance on them lands as 0 ("cannot regain HP" chat line) until the start of your next turn. A Temp HP grant still lands (Ben R3). Confirm the rider does NOT fire on a talent (non-weapon) hit, and doesn't fire twice.</t>
  </si>
  <si>
    <t>Consuming Decay</t>
  </si>
  <si>
    <t>Consuming Decay (2 Inv) → refused without cost on: a full-HP un-Weakened target, a target outside Black range, or a target already decaying (one instance per character — even by another Death PC). On a legal target: the green Decaying icon appears; at the start of each of its turns it takes a fresh [Tier][Die] vital roll and the owner heals half (floor). Removing the icon by hand ends the decay (no tick next turn).</t>
  </si>
  <si>
    <t>A decay tick that drops the victim to 0 still triggers Reaper's Harvest / Necrotic Cascade (the tick suppresses only the native on-hit dispatch).</t>
  </si>
  <si>
    <t>Bone Garden + Death Ward ⚑</t>
  </si>
  <si>
    <t>Bone Garden</t>
  </si>
  <si>
    <t>Bone Garden (1 Inv + 1 Remain) → refused pre-cost with no Remain; click-to-place; a click outside Green range warns and spends nothing; cancel spends nothing. Placed: a green 10 ft square Region + 🦴 drawing; movement through it costs ×2 (engine-enforced); ANY creature — enemy, ally, or the owner (Ben R5) — that ends its turn inside takes the baked [Tier][Die] keen (auto-applied). Terrain persists until the GM clears the map (terrain convention).</t>
  </si>
  <si>
    <t>Death Ward</t>
  </si>
  <si>
    <t>Death Ward (2 Inv) on a targeted ally → applies freely (card, no roll). On an enemy → rolls Black vs its Spiritual defense; fail = card, no ward, cost stays spent; a repeat on an already-warded target is refused pre-cost.</t>
  </si>
  <si>
    <t>Warded creature takes lethal damage → it lands on 1 HP (not 0), gains [Tier][Die]+Presence Temp HP (rolled fresh), the ward ends, and — critically — no harvest / no cascade fires on the saved drop. A second lethal hit (ward gone) kills normally.</t>
  </si>
  <si>
    <t>Necrotic Cascade + Risen Servant ⚑</t>
  </si>
  <si>
    <t>Necrotic Cascade</t>
  </si>
  <si>
    <t>Necrotic Cascade (1 Inv) → arm card ("for the scene"); re-arming the same scene is refused pre-cost. While armed, ANY qualifying drop (any killer — an ally's kill, a decay tick, a hazard) within Black range → one [Tier][Die] spirit roll applied to each enemy within 10 ft of the body. A cascade kill does NOT chain another cascade (but DOES harvest).</t>
  </si>
  <si>
    <t>Risen Servant</t>
  </si>
  <si>
    <t>Risen Servant (1 Inv + 1 Remain) → refused pre-cost with no Remain or at tier active Servants. Summons a friendly token beside you: HP = [Tier][Die on Green] (rolled), defenses = yours −3, Speed 25, Bone Strike rolls Athletics vs Physical then [Tier][Die on Green] keen, Disoriented-immune (Frightened/Compelled are sheet-noted manual), combatant slots onto your initiative. Its actor auto-deletes when the token is removed.</t>
  </si>
  <si>
    <t>Raise Dead + Speak with the Fallen</t>
  </si>
  <si>
    <t>Raise Dead</t>
  </si>
  <si>
    <t>Raise Dead (4 Inv, once/scene) → refused pre-cost on a second use or a target above 0 HP. On use: optional "does a Remain represent them?" confirm (consumes one on Yes); target returns at 1 HP (defeated overlay self-clears), Disoriented until the end of ITS next turn, its combatant moves onto the caster's initiative (GM-side; players get a card note), and the card tells the GM to add ONE injury (manual — backlog: an injury-table roller).</t>
  </si>
  <si>
    <t>Speak with the Fallen</t>
  </si>
  <si>
    <t>Speak with the Fallen (2 Inv via activation) → prompt: spend a Remain, or "touching ≤24 h remains" (owner-judged); the 3-questions card posts. The Q&amp;A + the +2 Inv repeat cost are table-run (trusted).</t>
  </si>
  <si>
    <t>The status tint (tint on the CONFIG.statusEffects entry) rendering on token icons — the one genuinely untested Foundry surface in this pass.</t>
  </si>
  <si>
    <t>The defeat watcher keys off a preUpdateActor HP stamp (live→0 crossing) — confirm repeat hits on a corpse don't re-harvest, and that a heal-then-drop does.</t>
  </si>
  <si>
    <t>Death Ward's restore runs in the applyDamage post-pass on the applying client — confirm the 0→1 flicker doesn't strand the defeated overlay, and that a player applying damage to their own PC can trigger the ward.</t>
  </si>
  <si>
    <t>Bone Garden's square is an axis-aligned rectangle Region — edhaPointInRegion uses region.object.testPoint for rectangles; confirm end-of-turn detection at the square's edge.</t>
  </si>
  <si>
    <t>Withering Touch fires on any weapon hit (melee-ness is owner-judged — the damage path doesn't expose reach); ranged-weapon misuse is a table call.</t>
  </si>
  <si>
    <t>Player (non-GM) flows: Bone Garden relays via the new bone-garden socket action; Decay/Ward flags via set-flag; Risen Servant still needs actor-create permission (GM casts it otherwise — carried backlog). A GM must be online for all of these.</t>
  </si>
  <si>
    <t>Civilization (Kethane, deity)</t>
  </si>
  <si>
    <t>Full relaunch (engine changed); console shows the edha-content.fortified Region behavior registered ("Edha: Fortified Foundation" appears in the Region behavior type list).</t>
  </si>
  <si>
    <t>⟳ Sync Talents on the Civilization PC (Lay Foundation's stale edha-aoe-template event was removed; Forge Construct's event note was updated → pack rebuilt with foundry-build deity on the Foundry machine).</t>
  </si>
  <si>
    <t>In combat: a Civilization PC (Red + White ranks, Investiture) + one allied PC + several enemies, on a gridded scene with room for 10 ft squares.</t>
  </si>
  <si>
    <t>Lay Foundation + Forge Construct (the pre-standard wiring, re-audited)</t>
  </si>
  <si>
    <t>Lay Foundation</t>
  </si>
  <si>
    <t>Lay Foundation (Free, 1 Inv) → exactly ONE range-ringed click-to-place per use (the 06-12 takeover); right-click cancels + refunds; beyond White Attunement Range warns + refunds. An ally beginning its turn inside gains the +1 all-defenses AE, gone at its next turn start outside. The tier sustain cap crumbles the oldest. After Sync, using it does NOT also fire a stray 5 ft template (the stale event is gone).</t>
  </si>
  <si>
    <t>Forge Construct</t>
  </si>
  <si>
    <t>Forge Construct (1 Action, 1 Inv) → summons beside you: HP = [Tier][Die white] + tier×2, deflect 1, Speed 25, defenses = yours −2, Construct Slam (Athletics vs Physical, [Tier][Die white] impact), slots onto your initiative, carries the baked toggled-off Siege Form effect + Siege Cannon item. Using it again with a live Construct dismantles the old one and reforges (sustain ONE, Ben R1) — non-GM casts need a GM online (dismantle relay). Actor-create permission still required (GM casts for players — carried backlog).</t>
  </si>
  <si>
    <t>Tempered Edge + Siege Form ⚑</t>
  </si>
  <si>
    <t>Tempered Edge</t>
  </si>
  <si>
    <t>Tempered Edge (passive) — a Construct Slam hit auto-adds +[Tier][Die red] energy (rolled vs the summoner) and bumps the hit by the target's deflect value (net: the Slam ignores deflect — chat line names both). Confirm the rider does NOT fire on the Siege Cannon (ranged), and not at all if the summoner doesn't own the talent.</t>
  </si>
  <si>
    <t>Siege Form</t>
  </si>
  <si>
    <t>Siege Form (2 Actions, 1 Inv) → refused without cost with no live Construct or when already sieged; on use the baked effect toggles ON (Speed 0, deflect 3) and the card's "End Siege Form (Free Action)" button toggles it OFF (owner/GM only). The spec numbers are unchanged (Ben R8).</t>
  </si>
  <si>
    <t>Arsenal + Magnum Opus ⚑</t>
  </si>
  <si>
    <t>Arsenal</t>
  </si>
  <si>
    <t>Arsenal (2 Actions, 2 Inv) → refused pre-cost with no live Construct or when already active. On use: the Construct wears the "Arsenal (2 attacks/turn)" indicator AE (cadence trusted). The Construct dropping a character live→0 whispers the summoner the chase prompt (move 15 ft + free Strike — player-executed).</t>
  </si>
  <si>
    <t>Magnum Opus</t>
  </si>
  <si>
    <t>Magnum Opus (3 Actions, 3 Inv, once/scene) → refused pre-cost on a second use or with no Construct. On use: Construct gains 2×[Tier][Die white] HP (value AND max), the +2 all-defenses Colossus AE (reach 10 ft is a manual note), and every subsequent Construct hit splashes [Tier][Die red] energy to each enemy within 10 ft of the target (target INCLUDED, Ben R7a), each rolling Agility vs your Red → Prone on a fail (engine-rolled, one DC roll). Allies in Foundations now get +2 (not +1) at turn start (Ben R7b) — confirm an ally camping in a Foundation upgrades on its next turn.</t>
  </si>
  <si>
    <t>Bastion + Trade Routes ⚑</t>
  </si>
  <si>
    <t>Bastion</t>
  </si>
  <si>
    <t>Bastion (2 Actions, 2 Inv) → refused without cost with zero Foundations. On use: each Foundation turns red-rimmed "⛨ fortified" with a matching Region; an enemy entering (or passing through — tokenMoveIn) takes the baked [Tier][Die red] impact + rolls Agility vs your Red → Slowed on a fail, clearing at the next turn advance ("until the start of its next turn" — a forced-move entry off-turn clears early, known trade-off). Allies enter free (the enter check is disposition-gated). One entry = one hit (the 1 s tokenEnter/tokenMoveIn debounce). A Foundation laid AFTER Bastion comes up fortified (Ben R4). The Construct standing inside a fortified Foundation wears +2 all defenses, dropping when it steps out (move-watcher).</t>
  </si>
  <si>
    <t>Difficult terrain is the native ×2 for EVERYONE</t>
  </si>
  <si>
    <t>Difficult terrain is the native ×2 for EVERYONE (disposition-blind — Ben R3): the ruler shows ×2 for allies too; GM compensates allied movement by hand. A disposition-filtered cost function is named backlog.</t>
  </si>
  <si>
    <t>Trade Routes</t>
  </si>
  <si>
    <t>Trade Routes (1 Action, 1 Inv) → refused without cost with &lt;2 Foundations; two validated clicks (wrong square / same square twice / cancel → refunded); both drawings gain "⇄". The card's Teleport button: an ally standing in either linked square jumps to the other (owner moves directly; GM relay otherwise); refused when outside, dead, wrong disposition, or the link crumbled. Once per turn is trusted.</t>
  </si>
  <si>
    <t>Bonds of Community (Reaction) ⚑</t>
  </si>
  <si>
    <t>ANY non-summon creature — enemy, ally, or PC (Ben R5) — dropping live→0 inside one of your Foundations whispers the owner the Reaction prompt. Clicking "Use Reaction": every standing ally inside ANY of your Foundations gains Temp HP = your White mod (keeps-higher, no stacking) + advantage on its next attack test (the Green advAttackNext flag — confirm it fires and consumes on their next attack roll). The dropped creature itself (at 0 HP) is excluded. A drop OUTSIDE every Foundation prompts nothing; a summon dropping prompts nothing. One Reaction per round is trusted.</t>
  </si>
  <si>
    <t>The edha-content.fortified Region behavior's tokenEnter/tokenMoveIn firing (mirrors the LIVE-verified Fate Snare shape, but new schema) — and whether the 1 s debounce is enough on slow token animations.</t>
  </si>
  <si>
    <t>The Bastion Slowed expiry stamps the CURRENT turn coord — confirm it clears exactly at the next turn advance and reads right at the table.</t>
  </si>
  <si>
    <t>agi as the Agility skill id in edhaRollOpposedSkill (Bastion/Magnum saves) — if the roll comes back flat 1d20, the id is wrong (one-line fix).</t>
  </si>
  <si>
    <t>Magnum's HP write targets hea.max.override on the summon (created with an override max) — confirm value AND max both climb by the same amount.</t>
  </si>
  <si>
    <t>The Colossus splash + Tempered Edge rider both key off edhaDealerOf — confirm they attribute correctly when the GM clicks Apply on the Construct's damage card (15 s dealer memory).</t>
  </si>
  <si>
    <t>Trade Routes' Teleport for a non-owner-moved token relies on the move-token relay (GM online).</t>
  </si>
  <si>
    <t>Player (non-GM) flows: Bastion via civ-fortify, links via civ-link, reforge via civ-dismantle — a GM must be online for all of these; Forge Construct itself still needs actor-create permission.</t>
  </si>
  <si>
    <t>Power (Tyrith, deity)</t>
  </si>
  <si>
    <t>Full relaunch (engine changed); console shows the custom statuses list now includes compelled + frightened.</t>
  </si>
  <si>
    <t>⟳ Sync Talents on the Power PC (Warlord's Advance's heuristic on-kill event and Investiture of Command's first-ally-only THP event were removed; Warlord's Advance + Unstoppable Advance damage dice went black→red → pack rebuilt with foundry-build deity on the Foundry machine).</t>
  </si>
  <si>
    <t>In combat: a Power PC (Black + Red ranks, Investiture, a melee weapon) + one allied PC + several enemies on a gridded scene.</t>
  </si>
  <si>
    <t>Kneel + Absolute Authority (Black vs Cognitive takeovers) ⚑</t>
  </si>
  <si>
    <t>Kneel</t>
  </si>
  <si>
    <t>Kneel (1 Action, 1 Inv) → refused without cost with no target / target out of Black range. On use: ONE engine Black roll vs the target's Cognitive (no stray system card). Success → the target wears the new Compelled icon, expiring at the start of your next turn (owner-relative); the card states the move-toward-or-nothing clause (GM-run). Failure → status-free, cost stays spent.</t>
  </si>
  <si>
    <t>Kneel's passive advantage</t>
  </si>
  <si>
    <t>Kneel's passive advantage ⚑ — with a target bearing Compelled/Frightened/Weakened in Black range synced-targeted, your attack roll opens with advantage pre-selected (dialog) or fast-forwards with it; no advantage when out of range or the status is absent. frightened is a GM-applied marker (nothing auto-inflicts it).</t>
  </si>
  <si>
    <t>Absolute Authority</t>
  </si>
  <si>
    <t>Absolute Authority (2 Actions, 2 Inv) → refused without cost unless the target bears Compelled/Frightened/Weakened (gate ENFORCED) and stands in Black range. Success → the "you choose its next action (no direct self-harm)" card (forced volition — GM-run). Failure → the target is Weakened until the end of ITS next turn (auto-applied, auto-expiring).</t>
  </si>
  <si>
    <t>Crown of Thorns ⚑</t>
  </si>
  <si>
    <t>Arm (2 Actions, 2 Inv) → re-arm refused pre-cost. While armed, every engine-resolved Black/Red vs-Cognitive test pings: Kneel and Absolute Authority (success AND failure), plus Sovereignty's Censure / Decree of Ruin if the same PC owns them — the tested character takes spirit = Presence (spirit bypasses deflect = "cannot be reduced").</t>
  </si>
  <si>
    <t>The arming card's "Crown ping" button covers tests the engine did NOT resolve: target the character, click → same spirit damage. Wearer/GM only; refused when the scene ended (flag cleared).</t>
  </si>
  <si>
    <t>Warlord's Advance + Momentum of Victory ⚑</t>
  </si>
  <si>
    <t>Warlord's Advance</t>
  </si>
  <si>
    <t>Warlord's Advance (1 Action, 1 Inv) → use arms the strike; your next WEAPON hit auto-adds [Tier][Die red] impact into the SAME damage application (chat line; don't also roll the card). Kill (that hit drops the target live→0, rider included) → you gain Temp HP = tier + the whispered 10 ft free-move prompt. Survivor → advantage armed on your next Presence-attribute test (the vs-that-target binding + until-your-next-turn expiry are card-noted/trusted). No more GM kill adjudication.</t>
  </si>
  <si>
    <t>Momentum of Victory</t>
  </si>
  <si>
    <t>Momentum of Victory (Free, 1 Inv + Opportunity — listed, never auto-deducted) → posts the move-15-ft + free-Strike card; the next WEAPON hit auto-adds +tier impact, consumed on fire.</t>
  </si>
  <si>
    <t>Unstoppable Advance (the new move-through watcher) ⚑</t>
  </si>
  <si>
    <t>Use (1 Action, 1 Inv; re-use refused while active) → moving your token through an enemy's square deals that enemy [Tier][Die red] impact (own roll per enemy, auto-applied GM-side) — once per enemy per activation, however many segments you drag. Allies and corpses are skipped.</t>
  </si>
  <si>
    <t>While armed, applying Slowed / Immobilized / Prone to you is shrugged off (the effect is deleted with a chat note).</t>
  </si>
  <si>
    <t>The flag expires after your next turn (sweep); armed out of combat, it stamps at the first turn change. Trample kills feed Warlord's Fury (real attribution via burst-apply).</t>
  </si>
  <si>
    <t>Investiture of Command + Warlord's Fury ⚑</t>
  </si>
  <si>
    <t>Investiture of Command</t>
  </si>
  <si>
    <t>Investiture of Command (2 Actions, 2 Inv) → refused without cost with zero valid targets (allies = same disposition, alive, in Black range; max 3). ONE shared [Tier][Die black] roll → each ally gains that Temp HP (keeps-higher, no stacking) + advantage on its next attack test (consumed on their next attack). The caster then takes tier spirit automatically. No more first-ally-only behavior.</t>
  </si>
  <si>
    <t>Warlord's Fury</t>
  </si>
  <si>
    <t>Warlord's Fury (2 Actions, 2 Inv; re-arm refused pre-cost) → melee WEAPON hits gain +tally (dealt type), tally = hostile non-summon NPC victims YOU dropped below half max HP (once each) +1 per kill (one blow crossing both counts twice), capped tier×2 live. PC/ally/summon drops do NOT count (Ben R7). Whispered tally cards on each rise.</t>
  </si>
  <si>
    <t>Mantle of the Aspirant (capstone, once/scene) ⚑</t>
  </si>
  <si>
    <t>Use (3 Actions, 3 Inv) → second use refused pre-cost. You wear the +2 all-defenses AE for the scene; your melee WEAPON hits auto-add +tier spirit.</t>
  </si>
  <si>
    <t>Ally aura</t>
  </si>
  <si>
    <t>Ally aura ⚑ — an ally standing in your Black range rolls ANY test at +1 (a flat +1 Mantle of the Aspirant term on the d20 roll); the wearer is excluded; out of range = no bonus. Watch-item: dialog rolls — if the configure dialog rebuilds the formula and drops the +1, that's the known risk (fallback = AE, named backlog).</t>
  </si>
  <si>
    <t>Redirect</t>
  </si>
  <si>
    <t>Redirect — taking damage whispers the redirect card (budget = min(tier, HP lost)): target a willing ally in Black range, click, choose the amount → the ally takes it (with edhaRedirected when applied directly — Devoted Conduit stays honest), the wearer heals back the same; the button decrements until the budget is spent. Damage fully eaten by Temp HP prompts nothing.</t>
  </si>
  <si>
    <t>The Mantle +1 NumericTerm append vs configureModifiers/dialog re-configuration — the one genuinely new roll-pipeline surface this pass.</t>
  </si>
  <si>
    <t>The move-through watcher samples one straight segment per updateToken — bench multi-waypoint drags (v13 fires per movement operation, but confirm) and diagonal near-misses (center-distance ≤ half token width).</t>
  </si>
  <si>
    <t>compelled/frightened status registration + the Compelled owner-relative expiry (applied via edhaApplyTimedStatus, not the auto-stamp set).</t>
  </si>
  <si>
    <t>Warlord's Advance's pre→post handoff (_edhaWarlordHit, 15 s) when the GM clicks Apply on the damage card late.</t>
  </si>
  <si>
    <t>Crown of Thorns pings ride burst-apply — a player wearer needs a GM online.</t>
  </si>
  <si>
    <t>All scene state (crown/fury/unstoppable/mantle flags, the Mantle AE, compelled/frightened icons) clears on deleteCombat.</t>
  </si>
  <si>
    <t>Knowledge (Gnothis, deity)</t>
  </si>
  <si>
    <t>Full relaunch (engine changed); console shows the custom statuses list still includes insight (stackable — unchanged registration, first CONSUMER this pass).</t>
  </si>
  <si>
    <t>⟳ Sync Talents on the Knowledge PC (the capstone was renamed "Apex Predator" → "The Final Study" to resolve the Green/Instinct name collision; Accumulate gained a edha-marked-damage-trigger event → pack rebuilt with foundry-build deity on the Foundry machine).</t>
  </si>
  <si>
    <t>In combat: a Knowledge PC (Red + Green ranks, Investiture, a melee/ranged weapon) + at least one allied PC (a different player, to check the multi-player visibility items below) + a couple of enemies on a gridded scene.</t>
  </si>
  <si>
    <t>Studied Mark + the Insight economy ⚑</t>
  </si>
  <si>
    <t>Studied Mark</t>
  </si>
  <si>
    <t>Studied Mark (1 Action, 1 Inv) → refused without cost with no target / target outside Green Attunement Range. On use: the target gets 2 Insight and a whispered card (owner + GM only) reads out its current HP, conditions, and Physical/Spiritual defenses.</t>
  </si>
  <si>
    <t>⚑ The insight status's stack count — confirm the token HUD (or the effect's data in the console) actually shows 2, not just the icon present. This is the single biggest bench-verify item in the tree: the count is written via effect.update({"system.count": n}) — if the real cosmere-rpg field isn't named count, the icon will still toggle on/off correctly but the NUMBER shown will be wrong. Named fallback: swap the field in edhaGnosisInsightOn/edhaGnosisApplyInsightGM once confirmed.</t>
  </si>
  <si>
    <t>Studied Mark a second, different creature → the first creature's Insight/icon clears to 0 automatically (one bearer at a time, tree-wide).</t>
  </si>
  <si>
    <t>Predatory Strike + Hunter's Discipline (weapon-hit riders)</t>
  </si>
  <si>
    <t>Predatory Strike</t>
  </si>
  <si>
    <t>Predatory Strike (1 Action, 1 Inv) → arms the rider (no stray card/roll of its own); your next weapon hit auto-adds [Tier][Die red] × max(Insight on target, 1) vital, then places +1 Insight on the actual target hit. A miss does nothing (no bonus, rider stays armed for the next attempt — confirm it does NOT fire on a 0-damage call).</t>
  </si>
  <si>
    <t>Hunter's Discipline</t>
  </si>
  <si>
    <t>Hunter's Discipline (passive) — hitting your OWN bearer with anything (not just a weapon) adds +Tier vital; hitting a NON-bearer or an ally hitting the bearer does not trigger this (owner-only, unlike Pack Share).</t>
  </si>
  <si>
    <t>On-kill</t>
  </si>
  <si>
    <t>On-kill ⚑ — your bearer drops to 0 → a whispered (owner + GM only) prompt lists creatures in Green range; clicking one transfers floor(slain Insight / 2) to it. No candidates in range → an informational card, no prompt.</t>
  </si>
  <si>
    <t>Killing Blow + The Final Study (Red vs Physical takeovers) ⚑</t>
  </si>
  <si>
    <t>Killing Blow</t>
  </si>
  <si>
    <t>Killing Blow (1 Action, 2 Inv) → refused without cost if you have no bearer (no target-picking needed — it resolves against your current bearer automatically). Roll 1d20+Red vs the bearer's Physical defense (public card, ONE engine roll, no stray system card). Success → [Tier][Die red] × Insight count vital, ALL Insight cleared. Failure → [Tier][Die red] × 1 vital, 1 Insight removed (not cleared).</t>
  </si>
  <si>
    <t>The Final Study</t>
  </si>
  <si>
    <t>The Final Study (3 Actions, 3 Inv, capstone) → same test shape; second use in the same scene refused pre-cost. Success ALSO lists allies in Green range for a free Strike (player-executed, not auto-rolled).</t>
  </si>
  <si>
    <t>Confirm no name collision: your Green PC's actual "Apex Predator" (≥3 enemies in terrain → advantage) is unaffected by anything in this tree — they are now different cards entirely.</t>
  </si>
  <si>
    <t>Accumulate (start-of-turn tick + damage→Inv, two different mechanisms)</t>
  </si>
  <si>
    <t>Start of your turn, bearer in Green range, Insight &lt; 5 → +1 Insight, auto (public card). Bearer out of range, or Insight already at 5 → nothing.</t>
  </si>
  <si>
    <t>Bearer takes damage from any source (not just your own hits) → +1 Investiture, capped once per round — this rides the SAME generic dispatch as Life's Prognosis (edha-marked-damage-trigger), not new engine code; confirm it doesn't also fire a second time in the same round from a different damage source.</t>
  </si>
  <si>
    <t>Pack Share + The Pack (ally riders, both stack if both armed) ⚑</t>
  </si>
  <si>
    <t>Pack Share</t>
  </si>
  <si>
    <t>Pack Share (1 Action, 1 Inv) → arms for the scene (re-arm refused pre-cost); the public arming card includes the HP/conditions/defenses reveal — confirm your ally's own player (not just the caster) can see this card and the "first hit places Insight" button context.</t>
  </si>
  <si>
    <t>An ally (not you) hits the bearer in your Green range → +Tier vital, auto. Once per round, the FIRST such hit ALSO places +1 Insight — confirm a second ally hit the same round adds the damage bonus again but does NOT place a second Insight.</t>
  </si>
  <si>
    <t>The Pack</t>
  </si>
  <si>
    <t>The Pack (1 Action, 2 Inv) → same ally-hit shape, but the bonus is + your current Insight count (live, re-read each hit) instead of a flat Tier; its own independent once-per-round Insight-placement trigger.</t>
  </si>
  <si>
    <t>Arm both Pack Share and The Pack in the same scene → an ally's hit stacks BOTH bonuses (additive, by design — R10) and can place up to +2 Insight from the same first hit of the round (one from each talent's own trigger — R11).</t>
  </si>
  <si>
    <t>Death Mark (on-kill full transfer + the ally-choice burst) ⚑</t>
  </si>
  <si>
    <t>Your bearer drops to 0 → a whispered (owner + GM only) prompt transfers the full slain Insight count to a chosen creature in Green range (same shape as Hunter's Discipline, just the full count instead of half).</t>
  </si>
  <si>
    <t>The SAME on-kill event ALSO posts a public card (not whispered) with one button per ally in Green range — confirm each ally's OWN controlling player can see it and click their own ally's button, target an enemy, and see [Tier][Die red] (baked off the KNOWLEDGE OWNER's own Tier/Red rank, not the acting ally's) land on that enemy.</t>
  </si>
  <si>
    <t>If a PC also owns both Hunter's Discipline and Death Mark, confirm BOTH transfer prompts post independently (R9) — clicking one, then the other, leaves whichever was clicked LAST as the actual final bearer.</t>
  </si>
  <si>
    <t>⚑ TOP ITEM</t>
  </si>
  <si>
    <t>⚑ TOP ITEM: effect.system.count as the stackable insight status's real field name (see §1) — everything else in the tree is unaffected if this needs a one-line swap.</t>
  </si>
  <si>
    <t>The Predatory-Strike pre→post handoff (_edhaGnosisPredatoryHit, 15 s) on a late GM Apply click (the standing Warlord's-Advance-shaped limitation).</t>
  </si>
  <si>
    <t>Multi-player visibility: Pack Share's reveal card and Death Mark's ally-burst card are deliberately public (not whispered) so other players' controlled allies can see/click — confirm this reads cleanly at the table and doesn't feel like a spoiler leak to the GM.</t>
  </si>
  <si>
    <t>All Knowledge scene state (gnothisBearer, predatoryStrikeNext, packShareActive, thePackActive, finalStudyUsed, the insight status/effect, markedBy.insight) clears on deleteCombat.</t>
  </si>
  <si>
    <t>Items</t>
  </si>
  <si>
    <t>Fail</t>
  </si>
  <si>
    <t>Partial</t>
  </si>
  <si>
    <t>Blocked</t>
  </si>
  <si>
    <t>Skipped</t>
  </si>
  <si>
    <t>N/A</t>
  </si>
  <si>
    <t>Untested</t>
  </si>
  <si>
    <t>% complete</t>
  </si>
  <si>
    <t>TOTAL</t>
  </si>
  <si>
    <t>Draw Mana</t>
  </si>
  <si>
    <t>Black Leyline Attunement</t>
  </si>
  <si>
    <t>Draw mana action with Black Leyline Attunement. Enemies within attunement range with no allies within 10ft become weakened</t>
  </si>
  <si>
    <t>Tested in Trooper Room. All Troopers became weakened, not just the solo one.</t>
  </si>
  <si>
    <t>Isolation</t>
  </si>
  <si>
    <t>Unnerving Approach</t>
  </si>
  <si>
    <t>Weakend characters within attunement range cannot willing move closer to allies</t>
  </si>
  <si>
    <t xml:space="preserve">Description in the talent tree does not match! Big Issue! Need full audit of talent tree descriptions and actual talent actions. Test also fails, Trooper is weakened and able to move towards the other Troopers. </t>
  </si>
  <si>
    <t>Severance</t>
  </si>
  <si>
    <t>Attacks against Isolated characters deal vital damage</t>
  </si>
  <si>
    <t>have to click the damage button after the roll, and a chat card appears noting the Trooper was Isolated. A blank roll card appears, but may be related to the Sapping Hex card</t>
  </si>
  <si>
    <t>Works, but there is no card for the investiture regen. Also the Heavy Weaponry Skill Test is showing 1d20+4+1d(2x3+2), I think the Predatory Patience die isn't resolving the [tier][die] formula correctly. It would also be good to have labels for the parts of the roll within the expanded card.</t>
  </si>
  <si>
    <t xml:space="preserve">See above, labels on the die contributing to the skill rolls would be helpful. </t>
  </si>
  <si>
    <t xml:space="preserve">This works, but is counting only adjacency for isolation. Make a note- should the text for Isolated change to 5 feet to match the current implementation? Also, Isolation isn't appearing as a "status effect" automatically, even if Sapping Hex is working. </t>
  </si>
  <si>
    <t>HP Cost is not in cost column in action tab of the actor, but is in the description.</t>
  </si>
  <si>
    <t>I like the immediate damage, but the text of the talent needs to be updated.</t>
  </si>
  <si>
    <t xml:space="preserve">Reserve shows next to talent/skill/attr budget, not down by the Investiture/Focus?Health bars. There is no way to spend Reserve- there should be an option when the "Spend Investiture?" popup appears to spend Reserve. </t>
  </si>
  <si>
    <t>Works, but the card for health regen shows only the die and results, not where this card originated from, what its doing, etc.</t>
  </si>
  <si>
    <t>Double Dip</t>
  </si>
  <si>
    <t xml:space="preserve">Test Reserve becomes available for HP costs after successful test. </t>
  </si>
  <si>
    <t>Reserve is still not tied to anything. Unsure this talent is even wired, other than spending Investiture correctly.</t>
  </si>
  <si>
    <t>Once the active is used, focus is regained when an enemy goes to 0 focus. It should work perpeturally.</t>
  </si>
  <si>
    <t xml:space="preserve">This is an indicator of future issues. The intent is that taking this talent gives the player another item on their list of things they can do when they roll an Opportunity on the plot die. Currently, when the stakes are raised on a roll, the opportunity or complication isn't usable. The complication test-bonus is the only functioning portion. </t>
  </si>
  <si>
    <t xml:space="preserve">I love this reaction-type card. We need more of these. </t>
  </si>
  <si>
    <t>Hollow-command needs an active effect (with the tag "no actions" or something) so the GM can tell which tokens are affected. 
Puppeteer - this needs more work. Is there a tag on the turn tracker in combat we can use? "player chooses actions" is fine manual, but there's no way for the player to know when an eligible character takes their turn.
Extract Thought- doesn't work. Should probably be a passive, not a special. Should have a popup card after successful deception tests saying "no reactions!" or something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</si>
</sst>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b/>
      <sz val="10"/>
      <color rgb="FFFFFFFF"/>
      <name val="Arial"/>
    </font>
    <font>
      <sz val="10"/>
      <name val="Arial"/>
    </font>
    <font>
      <b/>
      <sz val="10"/>
      <name val="Arial"/>
    </font>
  </fonts>
  <fills count="3">
    <fill>
      <patternFill patternType="none"/>
    </fill>
    <fill>
      <patternFill patternType="gray125"/>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xf>
    <xf numFmtId="0" fontId="2" fillId="0" borderId="1" xfId="0" applyFont="1" applyBorder="1" applyAlignment="1">
      <alignment vertical="top"/>
    </xf>
    <xf numFmtId="0" fontId="2" fillId="0" borderId="1" xfId="0" applyFont="1" applyBorder="1" applyAlignment="1">
      <alignment vertical="top" wrapText="1"/>
    </xf>
    <xf numFmtId="0" fontId="1" fillId="2" borderId="0" xfId="0" applyFont="1" applyFill="1" applyAlignment="1">
      <alignment horizontal="center"/>
    </xf>
    <xf numFmtId="0" fontId="2" fillId="0" borderId="1" xfId="0" applyFont="1" applyBorder="1"/>
    <xf numFmtId="164" fontId="2" fillId="0" borderId="1" xfId="0" applyNumberFormat="1" applyFont="1" applyBorder="1"/>
    <xf numFmtId="0" fontId="3" fillId="0" borderId="1" xfId="0" applyFont="1" applyBorder="1"/>
    <xf numFmtId="16" fontId="2" fillId="0" borderId="1" xfId="0" applyNumberFormat="1" applyFont="1" applyBorder="1" applyAlignment="1">
      <alignment vertical="top"/>
    </xf>
  </cellXfs>
  <cellStyles count="1">
    <cellStyle name="Normal" xfId="0" builtinId="0"/>
  </cellStyles>
  <dxfs count="6">
    <dxf>
      <font>
        <b/>
        <sz val="10"/>
        <color rgb="FF595959"/>
        <name val="Arial"/>
      </font>
      <fill>
        <patternFill patternType="solid">
          <fgColor rgb="FFD9D9D9"/>
        </patternFill>
      </fill>
    </dxf>
    <dxf>
      <font>
        <b/>
        <sz val="10"/>
        <color rgb="FF595959"/>
        <name val="Arial"/>
      </font>
      <fill>
        <patternFill patternType="solid">
          <fgColor rgb="FFD9D9D9"/>
        </patternFill>
      </fill>
    </dxf>
    <dxf>
      <font>
        <b/>
        <sz val="10"/>
        <color rgb="FF833C00"/>
        <name val="Arial"/>
      </font>
      <fill>
        <patternFill patternType="solid">
          <fgColor rgb="FFF8CBAD"/>
        </patternFill>
      </fill>
    </dxf>
    <dxf>
      <font>
        <b/>
        <sz val="10"/>
        <color rgb="FF9C6500"/>
        <name val="Arial"/>
      </font>
      <fill>
        <patternFill patternType="solid">
          <fgColor rgb="FFFFEB9C"/>
        </patternFill>
      </fill>
    </dxf>
    <dxf>
      <font>
        <b/>
        <sz val="10"/>
        <color rgb="FF9C0006"/>
        <name val="Arial"/>
      </font>
      <fill>
        <patternFill patternType="solid">
          <fgColor rgb="FFFFC7CE"/>
        </patternFill>
      </fill>
    </dxf>
    <dxf>
      <font>
        <b/>
        <sz val="10"/>
        <color rgb="FF006100"/>
        <name val="Arial"/>
      </font>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34"/>
  <sheetViews>
    <sheetView tabSelected="1" workbookViewId="0">
      <pane ySplit="1" topLeftCell="A2" activePane="bottomLeft" state="frozen"/>
      <selection pane="bottomLeft" activeCell="I31" sqref="I7:I31"/>
    </sheetView>
  </sheetViews>
  <sheetFormatPr defaultRowHeight="15" x14ac:dyDescent="0.25"/>
  <cols>
    <col min="1" max="1" width="5" customWidth="1"/>
    <col min="2" max="2" width="30" customWidth="1"/>
    <col min="3" max="3" width="32" customWidth="1"/>
    <col min="4" max="4" width="24" customWidth="1"/>
    <col min="5" max="5" width="90" customWidth="1"/>
    <col min="6" max="6" width="11" customWidth="1"/>
    <col min="7" max="7" width="10" customWidth="1"/>
    <col min="8" max="8" width="40" customWidth="1"/>
    <col min="9" max="9" width="12" customWidth="1"/>
  </cols>
  <sheetData>
    <row r="1" spans="1:9" x14ac:dyDescent="0.25">
      <c r="A1" s="1" t="s">
        <v>0</v>
      </c>
      <c r="B1" s="1" t="s">
        <v>1</v>
      </c>
      <c r="C1" s="1" t="s">
        <v>2</v>
      </c>
      <c r="D1" s="1" t="s">
        <v>3</v>
      </c>
      <c r="E1" s="1" t="s">
        <v>4</v>
      </c>
      <c r="F1" s="1" t="s">
        <v>5</v>
      </c>
      <c r="G1" s="1" t="s">
        <v>6</v>
      </c>
      <c r="H1" s="1" t="s">
        <v>7</v>
      </c>
      <c r="I1" s="1" t="s">
        <v>8</v>
      </c>
    </row>
    <row r="2" spans="1:9" x14ac:dyDescent="0.25">
      <c r="A2" s="2">
        <v>1</v>
      </c>
      <c r="B2" s="2" t="s">
        <v>9</v>
      </c>
      <c r="C2" s="3" t="s">
        <v>10</v>
      </c>
      <c r="D2" s="2"/>
      <c r="E2" s="3" t="s">
        <v>11</v>
      </c>
      <c r="F2" s="2" t="s">
        <v>12</v>
      </c>
      <c r="G2" s="2" t="s">
        <v>109</v>
      </c>
      <c r="H2" s="3"/>
      <c r="I2" s="8">
        <v>46208</v>
      </c>
    </row>
    <row r="3" spans="1:9" ht="25.5" x14ac:dyDescent="0.25">
      <c r="A3" s="2">
        <v>2</v>
      </c>
      <c r="B3" s="2" t="s">
        <v>9</v>
      </c>
      <c r="C3" s="3" t="s">
        <v>10</v>
      </c>
      <c r="D3" s="2"/>
      <c r="E3" s="3" t="s">
        <v>13</v>
      </c>
      <c r="F3" s="2" t="s">
        <v>12</v>
      </c>
      <c r="G3" s="2" t="s">
        <v>109</v>
      </c>
      <c r="H3" s="3"/>
      <c r="I3" s="8">
        <v>46208</v>
      </c>
    </row>
    <row r="4" spans="1:9" x14ac:dyDescent="0.25">
      <c r="A4" s="2">
        <v>3</v>
      </c>
      <c r="B4" s="2" t="s">
        <v>9</v>
      </c>
      <c r="C4" s="3" t="s">
        <v>10</v>
      </c>
      <c r="D4" s="2"/>
      <c r="E4" s="3" t="s">
        <v>14</v>
      </c>
      <c r="F4" s="2" t="s">
        <v>12</v>
      </c>
      <c r="G4" s="2" t="s">
        <v>109</v>
      </c>
      <c r="H4" s="3"/>
      <c r="I4" s="8">
        <v>46208</v>
      </c>
    </row>
    <row r="5" spans="1:9" ht="25.5" x14ac:dyDescent="0.25">
      <c r="A5" s="2">
        <v>4</v>
      </c>
      <c r="B5" s="2" t="s">
        <v>9</v>
      </c>
      <c r="C5" s="3" t="s">
        <v>10</v>
      </c>
      <c r="D5" s="2"/>
      <c r="E5" s="3" t="s">
        <v>15</v>
      </c>
      <c r="F5" s="2" t="s">
        <v>12</v>
      </c>
      <c r="G5" s="2" t="s">
        <v>109</v>
      </c>
      <c r="H5" s="3"/>
      <c r="I5" s="8">
        <v>46208</v>
      </c>
    </row>
    <row r="6" spans="1:9" ht="63.75" x14ac:dyDescent="0.25">
      <c r="A6" s="2">
        <v>4.0999999999999996</v>
      </c>
      <c r="B6" s="2" t="s">
        <v>9</v>
      </c>
      <c r="C6" s="3" t="s">
        <v>603</v>
      </c>
      <c r="D6" s="2" t="s">
        <v>604</v>
      </c>
      <c r="E6" s="3" t="s">
        <v>605</v>
      </c>
      <c r="F6" s="2" t="s">
        <v>4</v>
      </c>
      <c r="G6" s="2" t="s">
        <v>591</v>
      </c>
      <c r="H6" s="3" t="s">
        <v>606</v>
      </c>
      <c r="I6" s="8">
        <v>46208</v>
      </c>
    </row>
    <row r="7" spans="1:9" ht="51" x14ac:dyDescent="0.25">
      <c r="A7" s="2">
        <v>4.2</v>
      </c>
      <c r="B7" s="2" t="s">
        <v>9</v>
      </c>
      <c r="C7" s="3" t="s">
        <v>603</v>
      </c>
      <c r="D7" s="2" t="s">
        <v>607</v>
      </c>
      <c r="E7" s="3" t="s">
        <v>608</v>
      </c>
      <c r="F7" s="2" t="s">
        <v>4</v>
      </c>
      <c r="G7" s="2" t="s">
        <v>109</v>
      </c>
      <c r="H7" s="3" t="s">
        <v>609</v>
      </c>
      <c r="I7" s="8">
        <v>46208</v>
      </c>
    </row>
    <row r="8" spans="1:9" ht="89.25" x14ac:dyDescent="0.25">
      <c r="A8" s="2">
        <v>5</v>
      </c>
      <c r="B8" s="2" t="s">
        <v>9</v>
      </c>
      <c r="C8" s="3" t="s">
        <v>16</v>
      </c>
      <c r="D8" s="2" t="s">
        <v>17</v>
      </c>
      <c r="E8" s="3" t="s">
        <v>18</v>
      </c>
      <c r="F8" s="2" t="s">
        <v>4</v>
      </c>
      <c r="G8" s="2" t="s">
        <v>109</v>
      </c>
      <c r="H8" s="3" t="s">
        <v>610</v>
      </c>
      <c r="I8" s="8">
        <v>46208</v>
      </c>
    </row>
    <row r="9" spans="1:9" ht="25.5" x14ac:dyDescent="0.25">
      <c r="A9" s="2">
        <v>6</v>
      </c>
      <c r="B9" s="2" t="s">
        <v>9</v>
      </c>
      <c r="C9" s="3" t="s">
        <v>16</v>
      </c>
      <c r="D9" s="2" t="s">
        <v>17</v>
      </c>
      <c r="E9" s="3" t="s">
        <v>19</v>
      </c>
      <c r="F9" s="2" t="s">
        <v>4</v>
      </c>
      <c r="G9" s="2" t="s">
        <v>109</v>
      </c>
      <c r="H9" s="3"/>
      <c r="I9" s="8">
        <v>46208</v>
      </c>
    </row>
    <row r="10" spans="1:9" ht="25.5" x14ac:dyDescent="0.25">
      <c r="A10" s="2">
        <v>7</v>
      </c>
      <c r="B10" s="2" t="s">
        <v>9</v>
      </c>
      <c r="C10" s="3" t="s">
        <v>16</v>
      </c>
      <c r="D10" s="2" t="s">
        <v>17</v>
      </c>
      <c r="E10" s="3" t="s">
        <v>20</v>
      </c>
      <c r="F10" s="2" t="s">
        <v>4</v>
      </c>
      <c r="G10" s="2" t="s">
        <v>109</v>
      </c>
      <c r="H10" s="3" t="s">
        <v>611</v>
      </c>
      <c r="I10" s="8">
        <v>46208</v>
      </c>
    </row>
    <row r="11" spans="1:9" ht="76.5" x14ac:dyDescent="0.25">
      <c r="A11" s="2">
        <v>8</v>
      </c>
      <c r="B11" s="2" t="s">
        <v>9</v>
      </c>
      <c r="C11" s="3" t="s">
        <v>16</v>
      </c>
      <c r="D11" s="2" t="s">
        <v>21</v>
      </c>
      <c r="E11" s="3" t="s">
        <v>22</v>
      </c>
      <c r="F11" s="2" t="s">
        <v>4</v>
      </c>
      <c r="G11" s="2" t="s">
        <v>109</v>
      </c>
      <c r="H11" s="3" t="s">
        <v>612</v>
      </c>
      <c r="I11" s="8">
        <v>46208</v>
      </c>
    </row>
    <row r="12" spans="1:9" ht="25.5" x14ac:dyDescent="0.25">
      <c r="A12" s="2">
        <v>9</v>
      </c>
      <c r="B12" s="2" t="s">
        <v>9</v>
      </c>
      <c r="C12" s="3" t="s">
        <v>16</v>
      </c>
      <c r="D12" s="2" t="s">
        <v>21</v>
      </c>
      <c r="E12" s="3" t="s">
        <v>23</v>
      </c>
      <c r="F12" s="2" t="s">
        <v>4</v>
      </c>
      <c r="G12" s="2" t="s">
        <v>109</v>
      </c>
      <c r="H12" s="3"/>
      <c r="I12" s="8">
        <v>46208</v>
      </c>
    </row>
    <row r="13" spans="1:9" ht="38.25" x14ac:dyDescent="0.25">
      <c r="A13" s="2">
        <v>10</v>
      </c>
      <c r="B13" s="2" t="s">
        <v>9</v>
      </c>
      <c r="C13" s="3" t="s">
        <v>16</v>
      </c>
      <c r="D13" s="2" t="s">
        <v>24</v>
      </c>
      <c r="E13" s="3" t="s">
        <v>25</v>
      </c>
      <c r="F13" s="2" t="s">
        <v>4</v>
      </c>
      <c r="G13" s="2" t="s">
        <v>109</v>
      </c>
      <c r="H13" s="3"/>
      <c r="I13" s="8">
        <v>46208</v>
      </c>
    </row>
    <row r="14" spans="1:9" ht="25.5" x14ac:dyDescent="0.25">
      <c r="A14" s="2">
        <v>11</v>
      </c>
      <c r="B14" s="2" t="s">
        <v>9</v>
      </c>
      <c r="C14" s="3" t="s">
        <v>16</v>
      </c>
      <c r="D14" s="2" t="s">
        <v>26</v>
      </c>
      <c r="E14" s="3" t="s">
        <v>27</v>
      </c>
      <c r="F14" s="2" t="s">
        <v>4</v>
      </c>
      <c r="G14" s="2" t="s">
        <v>109</v>
      </c>
      <c r="H14" s="3"/>
      <c r="I14" s="8">
        <v>46208</v>
      </c>
    </row>
    <row r="15" spans="1:9" ht="25.5" x14ac:dyDescent="0.25">
      <c r="A15" s="2">
        <v>12</v>
      </c>
      <c r="B15" s="2" t="s">
        <v>9</v>
      </c>
      <c r="C15" s="3" t="s">
        <v>28</v>
      </c>
      <c r="D15" s="2" t="s">
        <v>29</v>
      </c>
      <c r="E15" s="3" t="s">
        <v>30</v>
      </c>
      <c r="F15" s="2" t="s">
        <v>4</v>
      </c>
      <c r="G15" s="2" t="s">
        <v>109</v>
      </c>
      <c r="H15" s="3"/>
      <c r="I15" s="8">
        <v>46208</v>
      </c>
    </row>
    <row r="16" spans="1:9" ht="25.5" x14ac:dyDescent="0.25">
      <c r="A16" s="2">
        <v>13</v>
      </c>
      <c r="B16" s="2" t="s">
        <v>9</v>
      </c>
      <c r="C16" s="3" t="s">
        <v>28</v>
      </c>
      <c r="D16" s="2" t="s">
        <v>31</v>
      </c>
      <c r="E16" s="3" t="s">
        <v>32</v>
      </c>
      <c r="F16" s="2" t="s">
        <v>4</v>
      </c>
      <c r="G16" s="2" t="s">
        <v>109</v>
      </c>
      <c r="H16" s="3" t="s">
        <v>613</v>
      </c>
      <c r="I16" s="8">
        <v>46208</v>
      </c>
    </row>
    <row r="17" spans="1:9" ht="25.5" x14ac:dyDescent="0.25">
      <c r="A17" s="2">
        <v>14</v>
      </c>
      <c r="B17" s="2" t="s">
        <v>9</v>
      </c>
      <c r="C17" s="3" t="s">
        <v>28</v>
      </c>
      <c r="D17" s="2" t="s">
        <v>33</v>
      </c>
      <c r="E17" s="3" t="s">
        <v>34</v>
      </c>
      <c r="F17" s="2" t="s">
        <v>4</v>
      </c>
      <c r="G17" s="2" t="s">
        <v>109</v>
      </c>
      <c r="H17" s="3"/>
      <c r="I17" s="8">
        <v>46208</v>
      </c>
    </row>
    <row r="18" spans="1:9" ht="25.5" x14ac:dyDescent="0.25">
      <c r="A18" s="2">
        <v>15</v>
      </c>
      <c r="B18" s="2" t="s">
        <v>9</v>
      </c>
      <c r="C18" s="3" t="s">
        <v>28</v>
      </c>
      <c r="D18" s="2" t="s">
        <v>33</v>
      </c>
      <c r="E18" s="3" t="s">
        <v>35</v>
      </c>
      <c r="F18" s="2" t="s">
        <v>4</v>
      </c>
      <c r="G18" s="2" t="s">
        <v>109</v>
      </c>
      <c r="H18" s="3"/>
      <c r="I18" s="8">
        <v>46208</v>
      </c>
    </row>
    <row r="19" spans="1:9" ht="25.5" x14ac:dyDescent="0.25">
      <c r="A19" s="2">
        <v>16</v>
      </c>
      <c r="B19" s="2" t="s">
        <v>9</v>
      </c>
      <c r="C19" s="3" t="s">
        <v>28</v>
      </c>
      <c r="D19" s="2" t="s">
        <v>33</v>
      </c>
      <c r="E19" s="3" t="s">
        <v>36</v>
      </c>
      <c r="F19" s="2" t="s">
        <v>4</v>
      </c>
      <c r="G19" s="2" t="s">
        <v>109</v>
      </c>
      <c r="H19" s="3" t="s">
        <v>614</v>
      </c>
      <c r="I19" s="8">
        <v>46208</v>
      </c>
    </row>
    <row r="20" spans="1:9" ht="25.5" x14ac:dyDescent="0.25">
      <c r="A20" s="2">
        <v>17</v>
      </c>
      <c r="B20" s="2" t="s">
        <v>9</v>
      </c>
      <c r="C20" s="3" t="s">
        <v>28</v>
      </c>
      <c r="D20" s="2" t="s">
        <v>37</v>
      </c>
      <c r="E20" s="3" t="s">
        <v>38</v>
      </c>
      <c r="F20" s="2" t="s">
        <v>4</v>
      </c>
      <c r="G20" s="2" t="s">
        <v>109</v>
      </c>
      <c r="H20" s="3"/>
      <c r="I20" s="8">
        <v>46208</v>
      </c>
    </row>
    <row r="21" spans="1:9" ht="25.5" x14ac:dyDescent="0.25">
      <c r="A21" s="2">
        <v>18</v>
      </c>
      <c r="B21" s="2" t="s">
        <v>9</v>
      </c>
      <c r="C21" s="3" t="s">
        <v>28</v>
      </c>
      <c r="D21" s="2" t="s">
        <v>39</v>
      </c>
      <c r="E21" s="3" t="s">
        <v>40</v>
      </c>
      <c r="F21" s="2" t="s">
        <v>4</v>
      </c>
      <c r="G21" s="2" t="s">
        <v>109</v>
      </c>
      <c r="H21" s="3"/>
      <c r="I21" s="8">
        <v>46208</v>
      </c>
    </row>
    <row r="22" spans="1:9" ht="76.5" x14ac:dyDescent="0.25">
      <c r="A22" s="2">
        <v>19</v>
      </c>
      <c r="B22" s="2" t="s">
        <v>9</v>
      </c>
      <c r="C22" s="3" t="s">
        <v>28</v>
      </c>
      <c r="D22" s="2" t="s">
        <v>41</v>
      </c>
      <c r="E22" s="3" t="s">
        <v>42</v>
      </c>
      <c r="F22" s="2" t="s">
        <v>4</v>
      </c>
      <c r="G22" s="2" t="s">
        <v>592</v>
      </c>
      <c r="H22" s="3" t="s">
        <v>615</v>
      </c>
      <c r="I22" s="8">
        <v>46208</v>
      </c>
    </row>
    <row r="23" spans="1:9" ht="38.25" x14ac:dyDescent="0.25">
      <c r="A23" s="2">
        <v>20</v>
      </c>
      <c r="B23" s="2" t="s">
        <v>9</v>
      </c>
      <c r="C23" s="3" t="s">
        <v>28</v>
      </c>
      <c r="D23" s="2" t="s">
        <v>43</v>
      </c>
      <c r="E23" s="3" t="s">
        <v>44</v>
      </c>
      <c r="F23" s="2" t="s">
        <v>4</v>
      </c>
      <c r="G23" s="2" t="s">
        <v>592</v>
      </c>
      <c r="H23" s="3" t="s">
        <v>616</v>
      </c>
      <c r="I23" s="8">
        <v>46208</v>
      </c>
    </row>
    <row r="24" spans="1:9" ht="38.25" x14ac:dyDescent="0.25">
      <c r="A24" s="2">
        <v>20.100000000000001</v>
      </c>
      <c r="B24" s="2" t="s">
        <v>9</v>
      </c>
      <c r="C24" s="3" t="s">
        <v>28</v>
      </c>
      <c r="D24" s="2" t="s">
        <v>617</v>
      </c>
      <c r="E24" s="3" t="s">
        <v>618</v>
      </c>
      <c r="F24" s="2" t="s">
        <v>4</v>
      </c>
      <c r="G24" s="2" t="s">
        <v>591</v>
      </c>
      <c r="H24" s="3" t="s">
        <v>619</v>
      </c>
      <c r="I24" s="8">
        <v>46208</v>
      </c>
    </row>
    <row r="25" spans="1:9" ht="38.25" x14ac:dyDescent="0.25">
      <c r="A25" s="2">
        <v>21</v>
      </c>
      <c r="B25" s="2" t="s">
        <v>9</v>
      </c>
      <c r="C25" s="3" t="s">
        <v>45</v>
      </c>
      <c r="D25" s="2" t="s">
        <v>46</v>
      </c>
      <c r="E25" s="3" t="s">
        <v>47</v>
      </c>
      <c r="F25" s="2" t="s">
        <v>4</v>
      </c>
      <c r="G25" s="2" t="s">
        <v>109</v>
      </c>
      <c r="H25" s="3"/>
      <c r="I25" s="8">
        <v>46208</v>
      </c>
    </row>
    <row r="26" spans="1:9" ht="38.25" x14ac:dyDescent="0.25">
      <c r="A26" s="2">
        <v>22</v>
      </c>
      <c r="B26" s="2" t="s">
        <v>9</v>
      </c>
      <c r="C26" s="3" t="s">
        <v>45</v>
      </c>
      <c r="D26" s="2" t="s">
        <v>48</v>
      </c>
      <c r="E26" s="3" t="s">
        <v>49</v>
      </c>
      <c r="F26" s="2" t="s">
        <v>4</v>
      </c>
      <c r="G26" s="2" t="s">
        <v>109</v>
      </c>
      <c r="H26" s="3"/>
      <c r="I26" s="8">
        <v>46208</v>
      </c>
    </row>
    <row r="27" spans="1:9" ht="38.25" x14ac:dyDescent="0.25">
      <c r="A27" s="2">
        <v>23</v>
      </c>
      <c r="B27" s="2" t="s">
        <v>9</v>
      </c>
      <c r="C27" s="3" t="s">
        <v>45</v>
      </c>
      <c r="D27" s="2" t="s">
        <v>50</v>
      </c>
      <c r="E27" s="3" t="s">
        <v>51</v>
      </c>
      <c r="F27" s="2" t="s">
        <v>4</v>
      </c>
      <c r="G27" s="2" t="s">
        <v>592</v>
      </c>
      <c r="H27" s="3" t="s">
        <v>620</v>
      </c>
      <c r="I27" s="8">
        <v>46208</v>
      </c>
    </row>
    <row r="28" spans="1:9" ht="102" x14ac:dyDescent="0.25">
      <c r="A28" s="2">
        <v>24</v>
      </c>
      <c r="B28" s="2" t="s">
        <v>9</v>
      </c>
      <c r="C28" s="3" t="s">
        <v>45</v>
      </c>
      <c r="D28" s="2" t="s">
        <v>52</v>
      </c>
      <c r="E28" s="3" t="s">
        <v>53</v>
      </c>
      <c r="F28" s="2" t="s">
        <v>4</v>
      </c>
      <c r="G28" s="2" t="s">
        <v>591</v>
      </c>
      <c r="H28" s="3" t="s">
        <v>621</v>
      </c>
      <c r="I28" s="8">
        <v>46208</v>
      </c>
    </row>
    <row r="29" spans="1:9" ht="38.25" x14ac:dyDescent="0.25">
      <c r="A29" s="2">
        <v>25</v>
      </c>
      <c r="B29" s="2" t="s">
        <v>9</v>
      </c>
      <c r="C29" s="3" t="s">
        <v>45</v>
      </c>
      <c r="D29" s="2" t="s">
        <v>54</v>
      </c>
      <c r="E29" s="3" t="s">
        <v>55</v>
      </c>
      <c r="F29" s="2" t="s">
        <v>4</v>
      </c>
      <c r="G29" s="2" t="s">
        <v>109</v>
      </c>
      <c r="H29" s="3" t="s">
        <v>622</v>
      </c>
      <c r="I29" s="8">
        <v>46208</v>
      </c>
    </row>
    <row r="30" spans="1:9" ht="38.25" x14ac:dyDescent="0.25">
      <c r="A30" s="2">
        <v>26</v>
      </c>
      <c r="B30" s="2" t="s">
        <v>9</v>
      </c>
      <c r="C30" s="3" t="s">
        <v>45</v>
      </c>
      <c r="D30" s="2" t="s">
        <v>56</v>
      </c>
      <c r="E30" s="3" t="s">
        <v>57</v>
      </c>
      <c r="F30" s="2" t="s">
        <v>4</v>
      </c>
      <c r="G30" s="2" t="s">
        <v>109</v>
      </c>
      <c r="H30" s="3"/>
      <c r="I30" s="8">
        <v>46208</v>
      </c>
    </row>
    <row r="31" spans="1:9" ht="153" x14ac:dyDescent="0.25">
      <c r="A31" s="2">
        <v>27</v>
      </c>
      <c r="B31" s="2" t="s">
        <v>9</v>
      </c>
      <c r="C31" s="3" t="s">
        <v>45</v>
      </c>
      <c r="D31" s="2" t="s">
        <v>58</v>
      </c>
      <c r="E31" s="3" t="s">
        <v>59</v>
      </c>
      <c r="F31" s="2" t="s">
        <v>4</v>
      </c>
      <c r="G31" s="2" t="s">
        <v>591</v>
      </c>
      <c r="H31" s="3" t="s">
        <v>623</v>
      </c>
      <c r="I31" s="8">
        <v>46208</v>
      </c>
    </row>
    <row r="32" spans="1:9" ht="25.5" x14ac:dyDescent="0.25">
      <c r="A32" s="2">
        <v>27.1</v>
      </c>
      <c r="B32" s="2" t="s">
        <v>9</v>
      </c>
      <c r="C32" s="3" t="s">
        <v>599</v>
      </c>
      <c r="D32" s="2" t="s">
        <v>600</v>
      </c>
      <c r="E32" s="3" t="s">
        <v>601</v>
      </c>
      <c r="F32" s="2" t="s">
        <v>4</v>
      </c>
      <c r="G32" s="2" t="s">
        <v>591</v>
      </c>
      <c r="H32" s="3" t="s">
        <v>602</v>
      </c>
      <c r="I32" s="8">
        <v>46208</v>
      </c>
    </row>
    <row r="33" spans="1:9" ht="25.5" x14ac:dyDescent="0.25">
      <c r="A33" s="2">
        <v>28</v>
      </c>
      <c r="B33" s="2" t="s">
        <v>9</v>
      </c>
      <c r="C33" s="3" t="s">
        <v>60</v>
      </c>
      <c r="D33" s="2"/>
      <c r="E33" s="3" t="s">
        <v>61</v>
      </c>
      <c r="F33" s="2" t="s">
        <v>62</v>
      </c>
      <c r="G33" s="2" t="s">
        <v>109</v>
      </c>
      <c r="H33" s="3"/>
      <c r="I33" s="8">
        <v>46208</v>
      </c>
    </row>
    <row r="34" spans="1:9" ht="25.5" x14ac:dyDescent="0.25">
      <c r="A34" s="2">
        <v>29</v>
      </c>
      <c r="B34" s="2" t="s">
        <v>9</v>
      </c>
      <c r="C34" s="3" t="s">
        <v>60</v>
      </c>
      <c r="D34" s="2"/>
      <c r="E34" s="3" t="s">
        <v>63</v>
      </c>
      <c r="F34" s="2" t="s">
        <v>62</v>
      </c>
      <c r="G34" s="2" t="s">
        <v>109</v>
      </c>
      <c r="H34" s="3"/>
      <c r="I34" s="8">
        <v>46208</v>
      </c>
    </row>
    <row r="35" spans="1:9" ht="25.5" x14ac:dyDescent="0.25">
      <c r="A35" s="2">
        <v>30</v>
      </c>
      <c r="B35" s="2" t="s">
        <v>9</v>
      </c>
      <c r="C35" s="3" t="s">
        <v>60</v>
      </c>
      <c r="D35" s="2"/>
      <c r="E35" s="3" t="s">
        <v>64</v>
      </c>
      <c r="F35" s="2" t="s">
        <v>62</v>
      </c>
      <c r="G35" s="2" t="s">
        <v>109</v>
      </c>
      <c r="H35" s="3"/>
      <c r="I35" s="8">
        <v>46208</v>
      </c>
    </row>
    <row r="36" spans="1:9" ht="25.5" x14ac:dyDescent="0.25">
      <c r="A36" s="2">
        <v>31</v>
      </c>
      <c r="B36" s="2" t="s">
        <v>9</v>
      </c>
      <c r="C36" s="3" t="s">
        <v>60</v>
      </c>
      <c r="D36" s="2"/>
      <c r="E36" s="3" t="s">
        <v>65</v>
      </c>
      <c r="F36" s="2" t="s">
        <v>62</v>
      </c>
      <c r="G36" s="2" t="s">
        <v>109</v>
      </c>
      <c r="H36" s="3"/>
      <c r="I36" s="8">
        <v>46208</v>
      </c>
    </row>
    <row r="37" spans="1:9" ht="25.5" x14ac:dyDescent="0.25">
      <c r="A37" s="2">
        <v>32</v>
      </c>
      <c r="B37" s="2" t="s">
        <v>9</v>
      </c>
      <c r="C37" s="3" t="s">
        <v>60</v>
      </c>
      <c r="D37" s="2"/>
      <c r="E37" s="3" t="s">
        <v>66</v>
      </c>
      <c r="F37" s="2" t="s">
        <v>62</v>
      </c>
      <c r="G37" s="2" t="s">
        <v>109</v>
      </c>
      <c r="H37" s="3"/>
      <c r="I37" s="8">
        <v>46208</v>
      </c>
    </row>
    <row r="38" spans="1:9" ht="25.5" x14ac:dyDescent="0.25">
      <c r="A38" s="2">
        <v>33</v>
      </c>
      <c r="B38" s="2" t="s">
        <v>9</v>
      </c>
      <c r="C38" s="3" t="s">
        <v>60</v>
      </c>
      <c r="D38" s="2" t="s">
        <v>67</v>
      </c>
      <c r="E38" s="3" t="s">
        <v>68</v>
      </c>
      <c r="F38" s="2" t="s">
        <v>62</v>
      </c>
      <c r="G38" s="2"/>
      <c r="H38" s="3"/>
      <c r="I38" s="2"/>
    </row>
    <row r="39" spans="1:9" ht="25.5" x14ac:dyDescent="0.25">
      <c r="A39" s="2">
        <v>34</v>
      </c>
      <c r="B39" s="2" t="s">
        <v>9</v>
      </c>
      <c r="C39" s="3" t="s">
        <v>69</v>
      </c>
      <c r="D39" s="2" t="s">
        <v>29</v>
      </c>
      <c r="E39" s="3" t="s">
        <v>70</v>
      </c>
      <c r="F39" s="2" t="s">
        <v>71</v>
      </c>
      <c r="G39" s="2"/>
      <c r="H39" s="3"/>
      <c r="I39" s="2"/>
    </row>
    <row r="40" spans="1:9" ht="25.5" x14ac:dyDescent="0.25">
      <c r="A40" s="2">
        <v>35</v>
      </c>
      <c r="B40" s="2" t="s">
        <v>9</v>
      </c>
      <c r="C40" s="3" t="s">
        <v>69</v>
      </c>
      <c r="D40" s="2"/>
      <c r="E40" s="3" t="s">
        <v>72</v>
      </c>
      <c r="F40" s="2" t="s">
        <v>71</v>
      </c>
      <c r="G40" s="2" t="s">
        <v>109</v>
      </c>
      <c r="H40" s="3"/>
      <c r="I40" s="8">
        <v>46208</v>
      </c>
    </row>
    <row r="41" spans="1:9" x14ac:dyDescent="0.25">
      <c r="A41" s="2">
        <v>36</v>
      </c>
      <c r="B41" s="2" t="s">
        <v>73</v>
      </c>
      <c r="C41" s="3" t="s">
        <v>12</v>
      </c>
      <c r="D41" s="2" t="s">
        <v>74</v>
      </c>
      <c r="E41" s="3" t="s">
        <v>75</v>
      </c>
      <c r="F41" s="2" t="s">
        <v>12</v>
      </c>
      <c r="G41" s="2"/>
      <c r="H41" s="3"/>
      <c r="I41" s="2"/>
    </row>
    <row r="42" spans="1:9" ht="38.25" x14ac:dyDescent="0.25">
      <c r="A42" s="2">
        <v>37</v>
      </c>
      <c r="B42" s="2" t="s">
        <v>73</v>
      </c>
      <c r="C42" s="3" t="s">
        <v>12</v>
      </c>
      <c r="D42" s="2"/>
      <c r="E42" s="3" t="s">
        <v>76</v>
      </c>
      <c r="F42" s="2" t="s">
        <v>12</v>
      </c>
      <c r="G42" s="2"/>
      <c r="H42" s="3"/>
      <c r="I42" s="2"/>
    </row>
    <row r="43" spans="1:9" x14ac:dyDescent="0.25">
      <c r="A43" s="2">
        <v>38</v>
      </c>
      <c r="B43" s="2" t="s">
        <v>73</v>
      </c>
      <c r="C43" s="3" t="s">
        <v>12</v>
      </c>
      <c r="D43" s="2"/>
      <c r="E43" s="3" t="s">
        <v>77</v>
      </c>
      <c r="F43" s="2" t="s">
        <v>12</v>
      </c>
      <c r="G43" s="2"/>
      <c r="H43" s="3"/>
      <c r="I43" s="2"/>
    </row>
    <row r="44" spans="1:9" ht="38.25" x14ac:dyDescent="0.25">
      <c r="A44" s="2">
        <v>39</v>
      </c>
      <c r="B44" s="2" t="s">
        <v>73</v>
      </c>
      <c r="C44" s="3" t="s">
        <v>78</v>
      </c>
      <c r="D44" s="2"/>
      <c r="E44" s="3" t="s">
        <v>79</v>
      </c>
      <c r="F44" s="2" t="s">
        <v>4</v>
      </c>
      <c r="G44" s="2"/>
      <c r="H44" s="3"/>
      <c r="I44" s="2"/>
    </row>
    <row r="45" spans="1:9" ht="25.5" x14ac:dyDescent="0.25">
      <c r="A45" s="2">
        <v>40</v>
      </c>
      <c r="B45" s="2" t="s">
        <v>73</v>
      </c>
      <c r="C45" s="3" t="s">
        <v>78</v>
      </c>
      <c r="D45" s="2"/>
      <c r="E45" s="3" t="s">
        <v>80</v>
      </c>
      <c r="F45" s="2" t="s">
        <v>4</v>
      </c>
      <c r="G45" s="2"/>
      <c r="H45" s="3"/>
      <c r="I45" s="2"/>
    </row>
    <row r="46" spans="1:9" ht="25.5" x14ac:dyDescent="0.25">
      <c r="A46" s="2">
        <v>41</v>
      </c>
      <c r="B46" s="2" t="s">
        <v>73</v>
      </c>
      <c r="C46" s="3" t="s">
        <v>81</v>
      </c>
      <c r="D46" s="2" t="s">
        <v>82</v>
      </c>
      <c r="E46" s="3" t="s">
        <v>83</v>
      </c>
      <c r="F46" s="2" t="s">
        <v>4</v>
      </c>
      <c r="G46" s="2"/>
      <c r="H46" s="3"/>
      <c r="I46" s="2"/>
    </row>
    <row r="47" spans="1:9" ht="25.5" x14ac:dyDescent="0.25">
      <c r="A47" s="2">
        <v>42</v>
      </c>
      <c r="B47" s="2" t="s">
        <v>73</v>
      </c>
      <c r="C47" s="3" t="s">
        <v>81</v>
      </c>
      <c r="D47" s="2" t="s">
        <v>84</v>
      </c>
      <c r="E47" s="3" t="s">
        <v>85</v>
      </c>
      <c r="F47" s="2" t="s">
        <v>4</v>
      </c>
      <c r="G47" s="2"/>
      <c r="H47" s="3"/>
      <c r="I47" s="2"/>
    </row>
    <row r="48" spans="1:9" ht="51" x14ac:dyDescent="0.25">
      <c r="A48" s="2">
        <v>43</v>
      </c>
      <c r="B48" s="2" t="s">
        <v>73</v>
      </c>
      <c r="C48" s="3" t="s">
        <v>81</v>
      </c>
      <c r="D48" s="2" t="s">
        <v>86</v>
      </c>
      <c r="E48" s="3" t="s">
        <v>87</v>
      </c>
      <c r="F48" s="2" t="s">
        <v>4</v>
      </c>
      <c r="G48" s="2"/>
      <c r="H48" s="3"/>
      <c r="I48" s="2"/>
    </row>
    <row r="49" spans="1:9" ht="25.5" x14ac:dyDescent="0.25">
      <c r="A49" s="2">
        <v>44</v>
      </c>
      <c r="B49" s="2" t="s">
        <v>73</v>
      </c>
      <c r="C49" s="3" t="s">
        <v>81</v>
      </c>
      <c r="D49" s="2" t="s">
        <v>88</v>
      </c>
      <c r="E49" s="3" t="s">
        <v>89</v>
      </c>
      <c r="F49" s="2" t="s">
        <v>4</v>
      </c>
      <c r="G49" s="2"/>
      <c r="H49" s="3"/>
      <c r="I49" s="2"/>
    </row>
    <row r="50" spans="1:9" ht="63.75" x14ac:dyDescent="0.25">
      <c r="A50" s="2">
        <v>45</v>
      </c>
      <c r="B50" s="2" t="s">
        <v>73</v>
      </c>
      <c r="C50" s="3" t="s">
        <v>81</v>
      </c>
      <c r="D50" s="2" t="s">
        <v>90</v>
      </c>
      <c r="E50" s="3" t="s">
        <v>91</v>
      </c>
      <c r="F50" s="2" t="s">
        <v>4</v>
      </c>
      <c r="G50" s="2"/>
      <c r="H50" s="3"/>
      <c r="I50" s="2"/>
    </row>
    <row r="51" spans="1:9" ht="25.5" x14ac:dyDescent="0.25">
      <c r="A51" s="2">
        <v>46</v>
      </c>
      <c r="B51" s="2" t="s">
        <v>73</v>
      </c>
      <c r="C51" s="3" t="s">
        <v>81</v>
      </c>
      <c r="D51" s="2" t="s">
        <v>92</v>
      </c>
      <c r="E51" s="3" t="s">
        <v>93</v>
      </c>
      <c r="F51" s="2" t="s">
        <v>4</v>
      </c>
      <c r="G51" s="2"/>
      <c r="H51" s="3"/>
      <c r="I51" s="2"/>
    </row>
    <row r="52" spans="1:9" ht="25.5" x14ac:dyDescent="0.25">
      <c r="A52" s="2">
        <v>47</v>
      </c>
      <c r="B52" s="2" t="s">
        <v>73</v>
      </c>
      <c r="C52" s="3" t="s">
        <v>81</v>
      </c>
      <c r="D52" s="2" t="s">
        <v>94</v>
      </c>
      <c r="E52" s="3" t="s">
        <v>95</v>
      </c>
      <c r="F52" s="2" t="s">
        <v>96</v>
      </c>
      <c r="G52" s="2"/>
      <c r="H52" s="3"/>
      <c r="I52" s="2"/>
    </row>
    <row r="53" spans="1:9" ht="25.5" x14ac:dyDescent="0.25">
      <c r="A53" s="2">
        <v>48</v>
      </c>
      <c r="B53" s="2" t="s">
        <v>73</v>
      </c>
      <c r="C53" s="3" t="s">
        <v>81</v>
      </c>
      <c r="D53" s="2" t="s">
        <v>97</v>
      </c>
      <c r="E53" s="3" t="s">
        <v>98</v>
      </c>
      <c r="F53" s="2" t="s">
        <v>4</v>
      </c>
      <c r="G53" s="2"/>
      <c r="H53" s="3"/>
      <c r="I53" s="2"/>
    </row>
    <row r="54" spans="1:9" ht="25.5" x14ac:dyDescent="0.25">
      <c r="A54" s="2">
        <v>49</v>
      </c>
      <c r="B54" s="2" t="s">
        <v>73</v>
      </c>
      <c r="C54" s="3" t="s">
        <v>99</v>
      </c>
      <c r="D54" s="2"/>
      <c r="E54" s="3" t="s">
        <v>100</v>
      </c>
      <c r="F54" s="2" t="s">
        <v>62</v>
      </c>
      <c r="G54" s="2"/>
      <c r="H54" s="3"/>
      <c r="I54" s="2"/>
    </row>
    <row r="55" spans="1:9" ht="25.5" x14ac:dyDescent="0.25">
      <c r="A55" s="2">
        <v>50</v>
      </c>
      <c r="B55" s="2" t="s">
        <v>73</v>
      </c>
      <c r="C55" s="3" t="s">
        <v>99</v>
      </c>
      <c r="D55" s="2"/>
      <c r="E55" s="3" t="s">
        <v>101</v>
      </c>
      <c r="F55" s="2" t="s">
        <v>62</v>
      </c>
      <c r="G55" s="2"/>
      <c r="H55" s="3"/>
      <c r="I55" s="2"/>
    </row>
    <row r="56" spans="1:9" ht="25.5" x14ac:dyDescent="0.25">
      <c r="A56" s="2">
        <v>51</v>
      </c>
      <c r="B56" s="2" t="s">
        <v>73</v>
      </c>
      <c r="C56" s="3" t="s">
        <v>99</v>
      </c>
      <c r="D56" s="2"/>
      <c r="E56" s="3" t="s">
        <v>102</v>
      </c>
      <c r="F56" s="2" t="s">
        <v>62</v>
      </c>
      <c r="G56" s="2"/>
      <c r="H56" s="3"/>
      <c r="I56" s="2"/>
    </row>
    <row r="57" spans="1:9" ht="25.5" x14ac:dyDescent="0.25">
      <c r="A57" s="2">
        <v>52</v>
      </c>
      <c r="B57" s="2" t="s">
        <v>73</v>
      </c>
      <c r="C57" s="3" t="s">
        <v>99</v>
      </c>
      <c r="D57" s="2"/>
      <c r="E57" s="3" t="s">
        <v>103</v>
      </c>
      <c r="F57" s="2" t="s">
        <v>62</v>
      </c>
      <c r="G57" s="2"/>
      <c r="H57" s="3"/>
      <c r="I57" s="2"/>
    </row>
    <row r="58" spans="1:9" ht="25.5" x14ac:dyDescent="0.25">
      <c r="A58" s="2">
        <v>53</v>
      </c>
      <c r="B58" s="2" t="s">
        <v>73</v>
      </c>
      <c r="C58" s="3" t="s">
        <v>99</v>
      </c>
      <c r="D58" s="2"/>
      <c r="E58" s="3" t="s">
        <v>104</v>
      </c>
      <c r="F58" s="2" t="s">
        <v>62</v>
      </c>
      <c r="G58" s="2"/>
      <c r="H58" s="3"/>
      <c r="I58" s="2"/>
    </row>
    <row r="59" spans="1:9" ht="25.5" x14ac:dyDescent="0.25">
      <c r="A59" s="2">
        <v>54</v>
      </c>
      <c r="B59" s="2" t="s">
        <v>73</v>
      </c>
      <c r="C59" s="3" t="s">
        <v>99</v>
      </c>
      <c r="D59" s="2" t="s">
        <v>105</v>
      </c>
      <c r="E59" s="3" t="s">
        <v>106</v>
      </c>
      <c r="F59" s="2" t="s">
        <v>62</v>
      </c>
      <c r="G59" s="2"/>
      <c r="H59" s="3"/>
      <c r="I59" s="2"/>
    </row>
    <row r="60" spans="1:9" ht="51" x14ac:dyDescent="0.25">
      <c r="A60" s="2">
        <v>55</v>
      </c>
      <c r="B60" s="2" t="s">
        <v>73</v>
      </c>
      <c r="C60" s="3" t="s">
        <v>107</v>
      </c>
      <c r="D60" s="2"/>
      <c r="E60" s="3" t="s">
        <v>108</v>
      </c>
      <c r="F60" s="2" t="s">
        <v>71</v>
      </c>
      <c r="G60" s="2" t="s">
        <v>109</v>
      </c>
      <c r="H60" s="3"/>
      <c r="I60" s="2"/>
    </row>
    <row r="61" spans="1:9" ht="25.5" x14ac:dyDescent="0.25">
      <c r="A61" s="2">
        <v>56</v>
      </c>
      <c r="B61" s="2" t="s">
        <v>73</v>
      </c>
      <c r="C61" s="3" t="s">
        <v>107</v>
      </c>
      <c r="D61" s="2"/>
      <c r="E61" s="3" t="s">
        <v>110</v>
      </c>
      <c r="F61" s="2" t="s">
        <v>71</v>
      </c>
      <c r="G61" s="2"/>
      <c r="H61" s="3"/>
      <c r="I61" s="2"/>
    </row>
    <row r="62" spans="1:9" x14ac:dyDescent="0.25">
      <c r="A62" s="2">
        <v>57</v>
      </c>
      <c r="B62" s="2" t="s">
        <v>73</v>
      </c>
      <c r="C62" s="3" t="s">
        <v>107</v>
      </c>
      <c r="D62" s="2" t="s">
        <v>29</v>
      </c>
      <c r="E62" s="3" t="s">
        <v>111</v>
      </c>
      <c r="F62" s="2" t="s">
        <v>71</v>
      </c>
      <c r="G62" s="2" t="s">
        <v>109</v>
      </c>
      <c r="H62" s="3"/>
      <c r="I62" s="2"/>
    </row>
    <row r="63" spans="1:9" ht="25.5" x14ac:dyDescent="0.25">
      <c r="A63" s="2">
        <v>58</v>
      </c>
      <c r="B63" s="2" t="s">
        <v>73</v>
      </c>
      <c r="C63" s="3" t="s">
        <v>107</v>
      </c>
      <c r="D63" s="2"/>
      <c r="E63" s="3" t="s">
        <v>112</v>
      </c>
      <c r="F63" s="2" t="s">
        <v>71</v>
      </c>
      <c r="G63" s="2"/>
      <c r="H63" s="3"/>
      <c r="I63" s="2"/>
    </row>
    <row r="64" spans="1:9" ht="25.5" x14ac:dyDescent="0.25">
      <c r="A64" s="2">
        <v>59</v>
      </c>
      <c r="B64" s="2" t="s">
        <v>113</v>
      </c>
      <c r="C64" s="3" t="s">
        <v>12</v>
      </c>
      <c r="D64" s="2" t="s">
        <v>74</v>
      </c>
      <c r="E64" s="3" t="s">
        <v>114</v>
      </c>
      <c r="F64" s="2" t="s">
        <v>12</v>
      </c>
      <c r="G64" s="2"/>
      <c r="H64" s="3"/>
      <c r="I64" s="2"/>
    </row>
    <row r="65" spans="1:9" ht="25.5" x14ac:dyDescent="0.25">
      <c r="A65" s="2">
        <v>60</v>
      </c>
      <c r="B65" s="2" t="s">
        <v>113</v>
      </c>
      <c r="C65" s="3" t="s">
        <v>12</v>
      </c>
      <c r="D65" s="2"/>
      <c r="E65" s="3" t="s">
        <v>115</v>
      </c>
      <c r="F65" s="2" t="s">
        <v>12</v>
      </c>
      <c r="G65" s="2"/>
      <c r="H65" s="3"/>
      <c r="I65" s="2"/>
    </row>
    <row r="66" spans="1:9" ht="25.5" x14ac:dyDescent="0.25">
      <c r="A66" s="2">
        <v>61</v>
      </c>
      <c r="B66" s="2" t="s">
        <v>113</v>
      </c>
      <c r="C66" s="3" t="s">
        <v>116</v>
      </c>
      <c r="D66" s="2"/>
      <c r="E66" s="3" t="s">
        <v>117</v>
      </c>
      <c r="F66" s="2" t="s">
        <v>4</v>
      </c>
      <c r="G66" s="2"/>
      <c r="H66" s="3"/>
      <c r="I66" s="2"/>
    </row>
    <row r="67" spans="1:9" ht="25.5" x14ac:dyDescent="0.25">
      <c r="A67" s="2">
        <v>62</v>
      </c>
      <c r="B67" s="2" t="s">
        <v>113</v>
      </c>
      <c r="C67" s="3" t="s">
        <v>118</v>
      </c>
      <c r="D67" s="2" t="s">
        <v>119</v>
      </c>
      <c r="E67" s="3" t="s">
        <v>120</v>
      </c>
      <c r="F67" s="2" t="s">
        <v>4</v>
      </c>
      <c r="G67" s="2"/>
      <c r="H67" s="3"/>
      <c r="I67" s="2"/>
    </row>
    <row r="68" spans="1:9" ht="38.25" x14ac:dyDescent="0.25">
      <c r="A68" s="2">
        <v>63</v>
      </c>
      <c r="B68" s="2" t="s">
        <v>113</v>
      </c>
      <c r="C68" s="3" t="s">
        <v>118</v>
      </c>
      <c r="D68" s="2" t="s">
        <v>121</v>
      </c>
      <c r="E68" s="3" t="s">
        <v>122</v>
      </c>
      <c r="F68" s="2" t="s">
        <v>4</v>
      </c>
      <c r="G68" s="2"/>
      <c r="H68" s="3"/>
      <c r="I68" s="2"/>
    </row>
    <row r="69" spans="1:9" ht="25.5" x14ac:dyDescent="0.25">
      <c r="A69" s="2">
        <v>64</v>
      </c>
      <c r="B69" s="2" t="s">
        <v>113</v>
      </c>
      <c r="C69" s="3" t="s">
        <v>118</v>
      </c>
      <c r="D69" s="2" t="s">
        <v>123</v>
      </c>
      <c r="E69" s="3" t="s">
        <v>124</v>
      </c>
      <c r="F69" s="2" t="s">
        <v>96</v>
      </c>
      <c r="G69" s="2"/>
      <c r="H69" s="3"/>
      <c r="I69" s="2"/>
    </row>
    <row r="70" spans="1:9" ht="25.5" x14ac:dyDescent="0.25">
      <c r="A70" s="2">
        <v>65</v>
      </c>
      <c r="B70" s="2" t="s">
        <v>113</v>
      </c>
      <c r="C70" s="3" t="s">
        <v>125</v>
      </c>
      <c r="D70" s="2" t="s">
        <v>126</v>
      </c>
      <c r="E70" s="3" t="s">
        <v>127</v>
      </c>
      <c r="F70" s="2" t="s">
        <v>4</v>
      </c>
      <c r="G70" s="2"/>
      <c r="H70" s="3"/>
      <c r="I70" s="2"/>
    </row>
    <row r="71" spans="1:9" ht="25.5" x14ac:dyDescent="0.25">
      <c r="A71" s="2">
        <v>66</v>
      </c>
      <c r="B71" s="2" t="s">
        <v>113</v>
      </c>
      <c r="C71" s="3" t="s">
        <v>125</v>
      </c>
      <c r="D71" s="2" t="s">
        <v>128</v>
      </c>
      <c r="E71" s="3" t="s">
        <v>129</v>
      </c>
      <c r="F71" s="2" t="s">
        <v>4</v>
      </c>
      <c r="G71" s="2"/>
      <c r="H71" s="3"/>
      <c r="I71" s="2"/>
    </row>
    <row r="72" spans="1:9" ht="25.5" x14ac:dyDescent="0.25">
      <c r="A72" s="2">
        <v>67</v>
      </c>
      <c r="B72" s="2" t="s">
        <v>113</v>
      </c>
      <c r="C72" s="3" t="s">
        <v>125</v>
      </c>
      <c r="D72" s="2" t="s">
        <v>130</v>
      </c>
      <c r="E72" s="3" t="s">
        <v>131</v>
      </c>
      <c r="F72" s="2" t="s">
        <v>4</v>
      </c>
      <c r="G72" s="2"/>
      <c r="H72" s="3"/>
      <c r="I72" s="2"/>
    </row>
    <row r="73" spans="1:9" ht="25.5" x14ac:dyDescent="0.25">
      <c r="A73" s="2">
        <v>68</v>
      </c>
      <c r="B73" s="2" t="s">
        <v>113</v>
      </c>
      <c r="C73" s="3" t="s">
        <v>125</v>
      </c>
      <c r="D73" s="2" t="s">
        <v>132</v>
      </c>
      <c r="E73" s="3" t="s">
        <v>133</v>
      </c>
      <c r="F73" s="2" t="s">
        <v>4</v>
      </c>
      <c r="G73" s="2"/>
      <c r="H73" s="3"/>
      <c r="I73" s="2"/>
    </row>
    <row r="74" spans="1:9" x14ac:dyDescent="0.25">
      <c r="A74" s="2">
        <v>69</v>
      </c>
      <c r="B74" s="2" t="s">
        <v>113</v>
      </c>
      <c r="C74" s="3" t="s">
        <v>134</v>
      </c>
      <c r="D74" s="2"/>
      <c r="E74" s="3" t="s">
        <v>135</v>
      </c>
      <c r="F74" s="2" t="s">
        <v>62</v>
      </c>
      <c r="G74" s="2"/>
      <c r="H74" s="3"/>
      <c r="I74" s="2"/>
    </row>
    <row r="75" spans="1:9" x14ac:dyDescent="0.25">
      <c r="A75" s="2">
        <v>70</v>
      </c>
      <c r="B75" s="2" t="s">
        <v>113</v>
      </c>
      <c r="C75" s="3" t="s">
        <v>134</v>
      </c>
      <c r="D75" s="2"/>
      <c r="E75" s="3" t="s">
        <v>136</v>
      </c>
      <c r="F75" s="2" t="s">
        <v>62</v>
      </c>
      <c r="G75" s="2"/>
      <c r="H75" s="3"/>
      <c r="I75" s="2"/>
    </row>
    <row r="76" spans="1:9" ht="25.5" x14ac:dyDescent="0.25">
      <c r="A76" s="2">
        <v>71</v>
      </c>
      <c r="B76" s="2" t="s">
        <v>113</v>
      </c>
      <c r="C76" s="3" t="s">
        <v>134</v>
      </c>
      <c r="D76" s="2"/>
      <c r="E76" s="3" t="s">
        <v>137</v>
      </c>
      <c r="F76" s="2" t="s">
        <v>62</v>
      </c>
      <c r="G76" s="2"/>
      <c r="H76" s="3"/>
      <c r="I76" s="2"/>
    </row>
    <row r="77" spans="1:9" ht="25.5" x14ac:dyDescent="0.25">
      <c r="A77" s="2">
        <v>72</v>
      </c>
      <c r="B77" s="2" t="s">
        <v>113</v>
      </c>
      <c r="C77" s="3" t="s">
        <v>134</v>
      </c>
      <c r="D77" s="2"/>
      <c r="E77" s="3" t="s">
        <v>138</v>
      </c>
      <c r="F77" s="2" t="s">
        <v>62</v>
      </c>
      <c r="G77" s="2"/>
      <c r="H77" s="3"/>
      <c r="I77" s="2"/>
    </row>
    <row r="78" spans="1:9" x14ac:dyDescent="0.25">
      <c r="A78" s="2">
        <v>73</v>
      </c>
      <c r="B78" s="2" t="s">
        <v>113</v>
      </c>
      <c r="C78" s="3" t="s">
        <v>134</v>
      </c>
      <c r="D78" s="2"/>
      <c r="E78" s="3" t="s">
        <v>139</v>
      </c>
      <c r="F78" s="2" t="s">
        <v>62</v>
      </c>
      <c r="G78" s="2"/>
      <c r="H78" s="3"/>
      <c r="I78" s="2"/>
    </row>
    <row r="79" spans="1:9" x14ac:dyDescent="0.25">
      <c r="A79" s="2">
        <v>74</v>
      </c>
      <c r="B79" s="2" t="s">
        <v>140</v>
      </c>
      <c r="C79" s="3" t="s">
        <v>12</v>
      </c>
      <c r="D79" s="2" t="s">
        <v>141</v>
      </c>
      <c r="E79" s="3" t="s">
        <v>142</v>
      </c>
      <c r="F79" s="2" t="s">
        <v>12</v>
      </c>
      <c r="G79" s="2"/>
      <c r="H79" s="3"/>
      <c r="I79" s="2"/>
    </row>
    <row r="80" spans="1:9" ht="25.5" x14ac:dyDescent="0.25">
      <c r="A80" s="2">
        <v>75</v>
      </c>
      <c r="B80" s="2" t="s">
        <v>140</v>
      </c>
      <c r="C80" s="3" t="s">
        <v>12</v>
      </c>
      <c r="D80" s="2"/>
      <c r="E80" s="3" t="s">
        <v>143</v>
      </c>
      <c r="F80" s="2" t="s">
        <v>12</v>
      </c>
      <c r="G80" s="2"/>
      <c r="H80" s="3"/>
      <c r="I80" s="2"/>
    </row>
    <row r="81" spans="1:9" x14ac:dyDescent="0.25">
      <c r="A81" s="2">
        <v>76</v>
      </c>
      <c r="B81" s="2" t="s">
        <v>140</v>
      </c>
      <c r="C81" s="3" t="s">
        <v>144</v>
      </c>
      <c r="D81" s="2" t="s">
        <v>145</v>
      </c>
      <c r="E81" s="3" t="s">
        <v>146</v>
      </c>
      <c r="F81" s="2" t="s">
        <v>4</v>
      </c>
      <c r="G81" s="2"/>
      <c r="H81" s="3"/>
      <c r="I81" s="2"/>
    </row>
    <row r="82" spans="1:9" ht="25.5" x14ac:dyDescent="0.25">
      <c r="A82" s="2">
        <v>77</v>
      </c>
      <c r="B82" s="2" t="s">
        <v>140</v>
      </c>
      <c r="C82" s="3" t="s">
        <v>144</v>
      </c>
      <c r="D82" s="2" t="s">
        <v>147</v>
      </c>
      <c r="E82" s="3" t="s">
        <v>148</v>
      </c>
      <c r="F82" s="2" t="s">
        <v>4</v>
      </c>
      <c r="G82" s="2"/>
      <c r="H82" s="3"/>
      <c r="I82" s="2"/>
    </row>
    <row r="83" spans="1:9" ht="51" x14ac:dyDescent="0.25">
      <c r="A83" s="2">
        <v>78</v>
      </c>
      <c r="B83" s="2" t="s">
        <v>140</v>
      </c>
      <c r="C83" s="3" t="s">
        <v>144</v>
      </c>
      <c r="D83" s="2" t="s">
        <v>149</v>
      </c>
      <c r="E83" s="3" t="s">
        <v>150</v>
      </c>
      <c r="F83" s="2" t="s">
        <v>4</v>
      </c>
      <c r="G83" s="2"/>
      <c r="H83" s="3"/>
      <c r="I83" s="2"/>
    </row>
    <row r="84" spans="1:9" ht="51" x14ac:dyDescent="0.25">
      <c r="A84" s="2">
        <v>79</v>
      </c>
      <c r="B84" s="2" t="s">
        <v>140</v>
      </c>
      <c r="C84" s="3" t="s">
        <v>144</v>
      </c>
      <c r="D84" s="2" t="s">
        <v>151</v>
      </c>
      <c r="E84" s="3" t="s">
        <v>152</v>
      </c>
      <c r="F84" s="2" t="s">
        <v>4</v>
      </c>
      <c r="G84" s="2"/>
      <c r="H84" s="3"/>
      <c r="I84" s="2"/>
    </row>
    <row r="85" spans="1:9" ht="25.5" x14ac:dyDescent="0.25">
      <c r="A85" s="2">
        <v>80</v>
      </c>
      <c r="B85" s="2" t="s">
        <v>140</v>
      </c>
      <c r="C85" s="3" t="s">
        <v>153</v>
      </c>
      <c r="D85" s="2" t="s">
        <v>154</v>
      </c>
      <c r="E85" s="3" t="s">
        <v>155</v>
      </c>
      <c r="F85" s="2" t="s">
        <v>4</v>
      </c>
      <c r="G85" s="2"/>
      <c r="H85" s="3"/>
      <c r="I85" s="2"/>
    </row>
    <row r="86" spans="1:9" ht="51" x14ac:dyDescent="0.25">
      <c r="A86" s="2">
        <v>81</v>
      </c>
      <c r="B86" s="2" t="s">
        <v>140</v>
      </c>
      <c r="C86" s="3" t="s">
        <v>153</v>
      </c>
      <c r="D86" s="2" t="s">
        <v>156</v>
      </c>
      <c r="E86" s="3" t="s">
        <v>157</v>
      </c>
      <c r="F86" s="2" t="s">
        <v>4</v>
      </c>
      <c r="G86" s="2"/>
      <c r="H86" s="3"/>
      <c r="I86" s="2"/>
    </row>
    <row r="87" spans="1:9" ht="25.5" x14ac:dyDescent="0.25">
      <c r="A87" s="2">
        <v>82</v>
      </c>
      <c r="B87" s="2" t="s">
        <v>140</v>
      </c>
      <c r="C87" s="3" t="s">
        <v>158</v>
      </c>
      <c r="D87" s="2" t="s">
        <v>159</v>
      </c>
      <c r="E87" s="3" t="s">
        <v>160</v>
      </c>
      <c r="F87" s="2" t="s">
        <v>96</v>
      </c>
      <c r="G87" s="2"/>
      <c r="H87" s="3"/>
      <c r="I87" s="2"/>
    </row>
    <row r="88" spans="1:9" ht="25.5" x14ac:dyDescent="0.25">
      <c r="A88" s="2">
        <v>83</v>
      </c>
      <c r="B88" s="2" t="s">
        <v>140</v>
      </c>
      <c r="C88" s="3" t="s">
        <v>158</v>
      </c>
      <c r="D88" s="2" t="s">
        <v>161</v>
      </c>
      <c r="E88" s="3" t="s">
        <v>162</v>
      </c>
      <c r="F88" s="2" t="s">
        <v>96</v>
      </c>
      <c r="G88" s="2"/>
      <c r="H88" s="3"/>
      <c r="I88" s="2"/>
    </row>
    <row r="89" spans="1:9" ht="25.5" x14ac:dyDescent="0.25">
      <c r="A89" s="2">
        <v>84</v>
      </c>
      <c r="B89" s="2" t="s">
        <v>140</v>
      </c>
      <c r="C89" s="3" t="s">
        <v>134</v>
      </c>
      <c r="D89" s="2"/>
      <c r="E89" s="3" t="s">
        <v>163</v>
      </c>
      <c r="F89" s="2" t="s">
        <v>62</v>
      </c>
      <c r="G89" s="2"/>
      <c r="H89" s="3"/>
      <c r="I89" s="2"/>
    </row>
    <row r="90" spans="1:9" x14ac:dyDescent="0.25">
      <c r="A90" s="2">
        <v>85</v>
      </c>
      <c r="B90" s="2" t="s">
        <v>140</v>
      </c>
      <c r="C90" s="3" t="s">
        <v>134</v>
      </c>
      <c r="D90" s="2"/>
      <c r="E90" s="3" t="s">
        <v>164</v>
      </c>
      <c r="F90" s="2" t="s">
        <v>62</v>
      </c>
      <c r="G90" s="2"/>
      <c r="H90" s="3"/>
      <c r="I90" s="2"/>
    </row>
    <row r="91" spans="1:9" x14ac:dyDescent="0.25">
      <c r="A91" s="2">
        <v>86</v>
      </c>
      <c r="B91" s="2" t="s">
        <v>140</v>
      </c>
      <c r="C91" s="3" t="s">
        <v>134</v>
      </c>
      <c r="D91" s="2"/>
      <c r="E91" s="3" t="s">
        <v>165</v>
      </c>
      <c r="F91" s="2" t="s">
        <v>62</v>
      </c>
      <c r="G91" s="2"/>
      <c r="H91" s="3"/>
      <c r="I91" s="2"/>
    </row>
    <row r="92" spans="1:9" x14ac:dyDescent="0.25">
      <c r="A92" s="2">
        <v>87</v>
      </c>
      <c r="B92" s="2" t="s">
        <v>140</v>
      </c>
      <c r="C92" s="3" t="s">
        <v>134</v>
      </c>
      <c r="D92" s="2"/>
      <c r="E92" s="3" t="s">
        <v>166</v>
      </c>
      <c r="F92" s="2" t="s">
        <v>62</v>
      </c>
      <c r="G92" s="2"/>
      <c r="H92" s="3"/>
      <c r="I92" s="2"/>
    </row>
    <row r="93" spans="1:9" ht="25.5" x14ac:dyDescent="0.25">
      <c r="A93" s="2">
        <v>88</v>
      </c>
      <c r="B93" s="2" t="s">
        <v>167</v>
      </c>
      <c r="C93" s="3" t="s">
        <v>12</v>
      </c>
      <c r="D93" s="2" t="s">
        <v>168</v>
      </c>
      <c r="E93" s="3" t="s">
        <v>169</v>
      </c>
      <c r="F93" s="2" t="s">
        <v>12</v>
      </c>
      <c r="G93" s="2"/>
      <c r="H93" s="3"/>
      <c r="I93" s="2"/>
    </row>
    <row r="94" spans="1:9" x14ac:dyDescent="0.25">
      <c r="A94" s="2">
        <v>89</v>
      </c>
      <c r="B94" s="2" t="s">
        <v>167</v>
      </c>
      <c r="C94" s="3" t="s">
        <v>12</v>
      </c>
      <c r="D94" s="2"/>
      <c r="E94" s="3" t="s">
        <v>170</v>
      </c>
      <c r="F94" s="2" t="s">
        <v>12</v>
      </c>
      <c r="G94" s="2"/>
      <c r="H94" s="3"/>
      <c r="I94" s="2"/>
    </row>
    <row r="95" spans="1:9" ht="38.25" x14ac:dyDescent="0.25">
      <c r="A95" s="2">
        <v>90</v>
      </c>
      <c r="B95" s="2" t="s">
        <v>167</v>
      </c>
      <c r="C95" s="3" t="s">
        <v>171</v>
      </c>
      <c r="D95" s="2" t="s">
        <v>172</v>
      </c>
      <c r="E95" s="3" t="s">
        <v>173</v>
      </c>
      <c r="F95" s="2" t="s">
        <v>4</v>
      </c>
      <c r="G95" s="2"/>
      <c r="H95" s="3"/>
      <c r="I95" s="2"/>
    </row>
    <row r="96" spans="1:9" ht="38.25" x14ac:dyDescent="0.25">
      <c r="A96" s="2">
        <v>91</v>
      </c>
      <c r="B96" s="2" t="s">
        <v>167</v>
      </c>
      <c r="C96" s="3" t="s">
        <v>171</v>
      </c>
      <c r="D96" s="2" t="s">
        <v>174</v>
      </c>
      <c r="E96" s="3" t="s">
        <v>175</v>
      </c>
      <c r="F96" s="2" t="s">
        <v>4</v>
      </c>
      <c r="G96" s="2"/>
      <c r="H96" s="3"/>
      <c r="I96" s="2"/>
    </row>
    <row r="97" spans="1:9" ht="38.25" x14ac:dyDescent="0.25">
      <c r="A97" s="2">
        <v>92</v>
      </c>
      <c r="B97" s="2" t="s">
        <v>167</v>
      </c>
      <c r="C97" s="3" t="s">
        <v>171</v>
      </c>
      <c r="D97" s="2" t="s">
        <v>176</v>
      </c>
      <c r="E97" s="3" t="s">
        <v>177</v>
      </c>
      <c r="F97" s="2" t="s">
        <v>4</v>
      </c>
      <c r="G97" s="2"/>
      <c r="H97" s="3"/>
      <c r="I97" s="2"/>
    </row>
    <row r="98" spans="1:9" ht="25.5" x14ac:dyDescent="0.25">
      <c r="A98" s="2">
        <v>93</v>
      </c>
      <c r="B98" s="2" t="s">
        <v>167</v>
      </c>
      <c r="C98" s="3" t="s">
        <v>178</v>
      </c>
      <c r="D98" s="2" t="s">
        <v>179</v>
      </c>
      <c r="E98" s="3" t="s">
        <v>180</v>
      </c>
      <c r="F98" s="2" t="s">
        <v>4</v>
      </c>
      <c r="G98" s="2"/>
      <c r="H98" s="3"/>
      <c r="I98" s="2"/>
    </row>
    <row r="99" spans="1:9" ht="38.25" x14ac:dyDescent="0.25">
      <c r="A99" s="2">
        <v>94</v>
      </c>
      <c r="B99" s="2" t="s">
        <v>167</v>
      </c>
      <c r="C99" s="3" t="s">
        <v>178</v>
      </c>
      <c r="D99" s="2" t="s">
        <v>181</v>
      </c>
      <c r="E99" s="3" t="s">
        <v>182</v>
      </c>
      <c r="F99" s="2" t="s">
        <v>4</v>
      </c>
      <c r="G99" s="2"/>
      <c r="H99" s="3"/>
      <c r="I99" s="2"/>
    </row>
    <row r="100" spans="1:9" ht="38.25" x14ac:dyDescent="0.25">
      <c r="A100" s="2">
        <v>95</v>
      </c>
      <c r="B100" s="2" t="s">
        <v>167</v>
      </c>
      <c r="C100" s="3" t="s">
        <v>183</v>
      </c>
      <c r="D100" s="2" t="s">
        <v>184</v>
      </c>
      <c r="E100" s="3" t="s">
        <v>185</v>
      </c>
      <c r="F100" s="2" t="s">
        <v>4</v>
      </c>
      <c r="G100" s="2"/>
      <c r="H100" s="3"/>
      <c r="I100" s="2"/>
    </row>
    <row r="101" spans="1:9" x14ac:dyDescent="0.25">
      <c r="A101" s="2">
        <v>96</v>
      </c>
      <c r="B101" s="2" t="s">
        <v>167</v>
      </c>
      <c r="C101" s="3" t="s">
        <v>183</v>
      </c>
      <c r="D101" s="2" t="s">
        <v>56</v>
      </c>
      <c r="E101" s="3" t="s">
        <v>186</v>
      </c>
      <c r="F101" s="2" t="s">
        <v>4</v>
      </c>
      <c r="G101" s="2"/>
      <c r="H101" s="3"/>
      <c r="I101" s="2"/>
    </row>
    <row r="102" spans="1:9" x14ac:dyDescent="0.25">
      <c r="A102" s="2">
        <v>97</v>
      </c>
      <c r="B102" s="2" t="s">
        <v>167</v>
      </c>
      <c r="C102" s="3" t="s">
        <v>183</v>
      </c>
      <c r="D102" s="2" t="s">
        <v>187</v>
      </c>
      <c r="E102" s="3" t="s">
        <v>188</v>
      </c>
      <c r="F102" s="2" t="s">
        <v>4</v>
      </c>
      <c r="G102" s="2"/>
      <c r="H102" s="3"/>
      <c r="I102" s="2"/>
    </row>
    <row r="103" spans="1:9" ht="63.75" x14ac:dyDescent="0.25">
      <c r="A103" s="2">
        <v>98</v>
      </c>
      <c r="B103" s="2" t="s">
        <v>167</v>
      </c>
      <c r="C103" s="3" t="s">
        <v>189</v>
      </c>
      <c r="D103" s="2" t="s">
        <v>190</v>
      </c>
      <c r="E103" s="3" t="s">
        <v>191</v>
      </c>
      <c r="F103" s="2" t="s">
        <v>62</v>
      </c>
      <c r="G103" s="2"/>
      <c r="H103" s="3"/>
      <c r="I103" s="2"/>
    </row>
    <row r="104" spans="1:9" ht="25.5" x14ac:dyDescent="0.25">
      <c r="A104" s="2">
        <v>99</v>
      </c>
      <c r="B104" s="2" t="s">
        <v>167</v>
      </c>
      <c r="C104" s="3" t="s">
        <v>189</v>
      </c>
      <c r="D104" s="2"/>
      <c r="E104" s="3" t="s">
        <v>192</v>
      </c>
      <c r="F104" s="2" t="s">
        <v>62</v>
      </c>
      <c r="G104" s="2"/>
      <c r="H104" s="3"/>
      <c r="I104" s="2"/>
    </row>
    <row r="105" spans="1:9" ht="25.5" x14ac:dyDescent="0.25">
      <c r="A105" s="2">
        <v>100</v>
      </c>
      <c r="B105" s="2" t="s">
        <v>167</v>
      </c>
      <c r="C105" s="3" t="s">
        <v>189</v>
      </c>
      <c r="D105" s="2"/>
      <c r="E105" s="3" t="s">
        <v>193</v>
      </c>
      <c r="F105" s="2" t="s">
        <v>62</v>
      </c>
      <c r="G105" s="2"/>
      <c r="H105" s="3"/>
      <c r="I105" s="2"/>
    </row>
    <row r="106" spans="1:9" ht="38.25" x14ac:dyDescent="0.25">
      <c r="A106" s="2">
        <v>101</v>
      </c>
      <c r="B106" s="2" t="s">
        <v>167</v>
      </c>
      <c r="C106" s="3" t="s">
        <v>189</v>
      </c>
      <c r="D106" s="2"/>
      <c r="E106" s="3" t="s">
        <v>194</v>
      </c>
      <c r="F106" s="2" t="s">
        <v>62</v>
      </c>
      <c r="G106" s="2"/>
      <c r="H106" s="3"/>
      <c r="I106" s="2"/>
    </row>
    <row r="107" spans="1:9" ht="25.5" x14ac:dyDescent="0.25">
      <c r="A107" s="2">
        <v>102</v>
      </c>
      <c r="B107" s="2" t="s">
        <v>167</v>
      </c>
      <c r="C107" s="3" t="s">
        <v>189</v>
      </c>
      <c r="D107" s="2"/>
      <c r="E107" s="3" t="s">
        <v>195</v>
      </c>
      <c r="F107" s="2" t="s">
        <v>62</v>
      </c>
      <c r="G107" s="2"/>
      <c r="H107" s="3"/>
      <c r="I107" s="2"/>
    </row>
    <row r="108" spans="1:9" ht="25.5" x14ac:dyDescent="0.25">
      <c r="A108" s="2">
        <v>103</v>
      </c>
      <c r="B108" s="2" t="s">
        <v>196</v>
      </c>
      <c r="C108" s="3" t="s">
        <v>12</v>
      </c>
      <c r="D108" s="2" t="s">
        <v>197</v>
      </c>
      <c r="E108" s="3" t="s">
        <v>198</v>
      </c>
      <c r="F108" s="2" t="s">
        <v>12</v>
      </c>
      <c r="G108" s="2"/>
      <c r="H108" s="3"/>
      <c r="I108" s="2"/>
    </row>
    <row r="109" spans="1:9" x14ac:dyDescent="0.25">
      <c r="A109" s="2">
        <v>104</v>
      </c>
      <c r="B109" s="2" t="s">
        <v>196</v>
      </c>
      <c r="C109" s="3" t="s">
        <v>12</v>
      </c>
      <c r="D109" s="2"/>
      <c r="E109" s="3" t="s">
        <v>199</v>
      </c>
      <c r="F109" s="2" t="s">
        <v>12</v>
      </c>
      <c r="G109" s="2"/>
      <c r="H109" s="3"/>
      <c r="I109" s="2"/>
    </row>
    <row r="110" spans="1:9" ht="38.25" x14ac:dyDescent="0.25">
      <c r="A110" s="2">
        <v>105</v>
      </c>
      <c r="B110" s="2" t="s">
        <v>196</v>
      </c>
      <c r="C110" s="3" t="s">
        <v>200</v>
      </c>
      <c r="D110" s="2" t="s">
        <v>201</v>
      </c>
      <c r="E110" s="3" t="s">
        <v>202</v>
      </c>
      <c r="F110" s="2" t="s">
        <v>4</v>
      </c>
      <c r="G110" s="2"/>
      <c r="H110" s="3"/>
      <c r="I110" s="2"/>
    </row>
    <row r="111" spans="1:9" ht="51" x14ac:dyDescent="0.25">
      <c r="A111" s="2">
        <v>106</v>
      </c>
      <c r="B111" s="2" t="s">
        <v>196</v>
      </c>
      <c r="C111" s="3" t="s">
        <v>200</v>
      </c>
      <c r="D111" s="2" t="s">
        <v>203</v>
      </c>
      <c r="E111" s="3" t="s">
        <v>204</v>
      </c>
      <c r="F111" s="2" t="s">
        <v>4</v>
      </c>
      <c r="G111" s="2"/>
      <c r="H111" s="3"/>
      <c r="I111" s="2"/>
    </row>
    <row r="112" spans="1:9" ht="25.5" x14ac:dyDescent="0.25">
      <c r="A112" s="2">
        <v>107</v>
      </c>
      <c r="B112" s="2" t="s">
        <v>196</v>
      </c>
      <c r="C112" s="3" t="s">
        <v>200</v>
      </c>
      <c r="D112" s="2" t="s">
        <v>205</v>
      </c>
      <c r="E112" s="3" t="s">
        <v>206</v>
      </c>
      <c r="F112" s="2" t="s">
        <v>4</v>
      </c>
      <c r="G112" s="2"/>
      <c r="H112" s="3"/>
      <c r="I112" s="2"/>
    </row>
    <row r="113" spans="1:9" x14ac:dyDescent="0.25">
      <c r="A113" s="2">
        <v>108</v>
      </c>
      <c r="B113" s="2" t="s">
        <v>196</v>
      </c>
      <c r="C113" s="3" t="s">
        <v>200</v>
      </c>
      <c r="D113" s="2" t="s">
        <v>207</v>
      </c>
      <c r="E113" s="3" t="s">
        <v>208</v>
      </c>
      <c r="F113" s="2" t="s">
        <v>4</v>
      </c>
      <c r="G113" s="2"/>
      <c r="H113" s="3"/>
      <c r="I113" s="2"/>
    </row>
    <row r="114" spans="1:9" ht="51" x14ac:dyDescent="0.25">
      <c r="A114" s="2">
        <v>109</v>
      </c>
      <c r="B114" s="2" t="s">
        <v>196</v>
      </c>
      <c r="C114" s="3" t="s">
        <v>209</v>
      </c>
      <c r="D114" s="2" t="s">
        <v>210</v>
      </c>
      <c r="E114" s="3" t="s">
        <v>211</v>
      </c>
      <c r="F114" s="2" t="s">
        <v>4</v>
      </c>
      <c r="G114" s="2"/>
      <c r="H114" s="3"/>
      <c r="I114" s="2"/>
    </row>
    <row r="115" spans="1:9" ht="25.5" x14ac:dyDescent="0.25">
      <c r="A115" s="2">
        <v>110</v>
      </c>
      <c r="B115" s="2" t="s">
        <v>196</v>
      </c>
      <c r="C115" s="3" t="s">
        <v>209</v>
      </c>
      <c r="D115" s="2" t="s">
        <v>212</v>
      </c>
      <c r="E115" s="3" t="s">
        <v>213</v>
      </c>
      <c r="F115" s="2" t="s">
        <v>4</v>
      </c>
      <c r="G115" s="2"/>
      <c r="H115" s="3"/>
      <c r="I115" s="2"/>
    </row>
    <row r="116" spans="1:9" ht="51" x14ac:dyDescent="0.25">
      <c r="A116" s="2">
        <v>111</v>
      </c>
      <c r="B116" s="2" t="s">
        <v>196</v>
      </c>
      <c r="C116" s="3" t="s">
        <v>209</v>
      </c>
      <c r="D116" s="2" t="s">
        <v>214</v>
      </c>
      <c r="E116" s="3" t="s">
        <v>215</v>
      </c>
      <c r="F116" s="2" t="s">
        <v>4</v>
      </c>
      <c r="G116" s="2"/>
      <c r="H116" s="3"/>
      <c r="I116" s="2"/>
    </row>
    <row r="117" spans="1:9" ht="25.5" x14ac:dyDescent="0.25">
      <c r="A117" s="2">
        <v>112</v>
      </c>
      <c r="B117" s="2" t="s">
        <v>196</v>
      </c>
      <c r="C117" s="3" t="s">
        <v>158</v>
      </c>
      <c r="D117" s="2" t="s">
        <v>216</v>
      </c>
      <c r="E117" s="3" t="s">
        <v>217</v>
      </c>
      <c r="F117" s="2" t="s">
        <v>96</v>
      </c>
      <c r="G117" s="2"/>
      <c r="H117" s="3"/>
      <c r="I117" s="2"/>
    </row>
    <row r="118" spans="1:9" ht="25.5" x14ac:dyDescent="0.25">
      <c r="A118" s="2">
        <v>113</v>
      </c>
      <c r="B118" s="2" t="s">
        <v>196</v>
      </c>
      <c r="C118" s="3" t="s">
        <v>189</v>
      </c>
      <c r="D118" s="2"/>
      <c r="E118" s="3" t="s">
        <v>218</v>
      </c>
      <c r="F118" s="2" t="s">
        <v>62</v>
      </c>
      <c r="G118" s="2"/>
      <c r="H118" s="3"/>
      <c r="I118" s="2"/>
    </row>
    <row r="119" spans="1:9" ht="25.5" x14ac:dyDescent="0.25">
      <c r="A119" s="2">
        <v>114</v>
      </c>
      <c r="B119" s="2" t="s">
        <v>196</v>
      </c>
      <c r="C119" s="3" t="s">
        <v>189</v>
      </c>
      <c r="D119" s="2"/>
      <c r="E119" s="3" t="s">
        <v>219</v>
      </c>
      <c r="F119" s="2" t="s">
        <v>62</v>
      </c>
      <c r="G119" s="2"/>
      <c r="H119" s="3"/>
      <c r="I119" s="2"/>
    </row>
    <row r="120" spans="1:9" ht="25.5" x14ac:dyDescent="0.25">
      <c r="A120" s="2">
        <v>115</v>
      </c>
      <c r="B120" s="2" t="s">
        <v>196</v>
      </c>
      <c r="C120" s="3" t="s">
        <v>189</v>
      </c>
      <c r="D120" s="2"/>
      <c r="E120" s="3" t="s">
        <v>220</v>
      </c>
      <c r="F120" s="2" t="s">
        <v>62</v>
      </c>
      <c r="G120" s="2"/>
      <c r="H120" s="3"/>
      <c r="I120" s="2"/>
    </row>
    <row r="121" spans="1:9" ht="25.5" x14ac:dyDescent="0.25">
      <c r="A121" s="2">
        <v>116</v>
      </c>
      <c r="B121" s="2" t="s">
        <v>221</v>
      </c>
      <c r="C121" s="3" t="s">
        <v>12</v>
      </c>
      <c r="D121" s="2" t="s">
        <v>197</v>
      </c>
      <c r="E121" s="3" t="s">
        <v>222</v>
      </c>
      <c r="F121" s="2" t="s">
        <v>12</v>
      </c>
      <c r="G121" s="2"/>
      <c r="H121" s="3"/>
      <c r="I121" s="2"/>
    </row>
    <row r="122" spans="1:9" ht="25.5" x14ac:dyDescent="0.25">
      <c r="A122" s="2">
        <v>117</v>
      </c>
      <c r="B122" s="2" t="s">
        <v>221</v>
      </c>
      <c r="C122" s="3" t="s">
        <v>223</v>
      </c>
      <c r="D122" s="2" t="s">
        <v>224</v>
      </c>
      <c r="E122" s="3" t="s">
        <v>225</v>
      </c>
      <c r="F122" s="2" t="s">
        <v>4</v>
      </c>
      <c r="G122" s="2"/>
      <c r="H122" s="3"/>
      <c r="I122" s="2"/>
    </row>
    <row r="123" spans="1:9" ht="25.5" x14ac:dyDescent="0.25">
      <c r="A123" s="2">
        <v>118</v>
      </c>
      <c r="B123" s="2" t="s">
        <v>221</v>
      </c>
      <c r="C123" s="3" t="s">
        <v>223</v>
      </c>
      <c r="D123" s="2" t="s">
        <v>226</v>
      </c>
      <c r="E123" s="3" t="s">
        <v>227</v>
      </c>
      <c r="F123" s="2" t="s">
        <v>4</v>
      </c>
      <c r="G123" s="2"/>
      <c r="H123" s="3"/>
      <c r="I123" s="2"/>
    </row>
    <row r="124" spans="1:9" ht="38.25" x14ac:dyDescent="0.25">
      <c r="A124" s="2">
        <v>119</v>
      </c>
      <c r="B124" s="2" t="s">
        <v>221</v>
      </c>
      <c r="C124" s="3" t="s">
        <v>223</v>
      </c>
      <c r="D124" s="2" t="s">
        <v>228</v>
      </c>
      <c r="E124" s="3" t="s">
        <v>229</v>
      </c>
      <c r="F124" s="2" t="s">
        <v>4</v>
      </c>
      <c r="G124" s="2"/>
      <c r="H124" s="3"/>
      <c r="I124" s="2"/>
    </row>
    <row r="125" spans="1:9" ht="25.5" x14ac:dyDescent="0.25">
      <c r="A125" s="2">
        <v>120</v>
      </c>
      <c r="B125" s="2" t="s">
        <v>221</v>
      </c>
      <c r="C125" s="3" t="s">
        <v>223</v>
      </c>
      <c r="D125" s="2" t="s">
        <v>230</v>
      </c>
      <c r="E125" s="3" t="s">
        <v>231</v>
      </c>
      <c r="F125" s="2" t="s">
        <v>4</v>
      </c>
      <c r="G125" s="2"/>
      <c r="H125" s="3"/>
      <c r="I125" s="2"/>
    </row>
    <row r="126" spans="1:9" ht="25.5" x14ac:dyDescent="0.25">
      <c r="A126" s="2">
        <v>121</v>
      </c>
      <c r="B126" s="2" t="s">
        <v>221</v>
      </c>
      <c r="C126" s="3" t="s">
        <v>232</v>
      </c>
      <c r="D126" s="2"/>
      <c r="E126" s="3" t="s">
        <v>233</v>
      </c>
      <c r="F126" s="2" t="s">
        <v>4</v>
      </c>
      <c r="G126" s="2"/>
      <c r="H126" s="3"/>
      <c r="I126" s="2"/>
    </row>
    <row r="127" spans="1:9" ht="25.5" x14ac:dyDescent="0.25">
      <c r="A127" s="2">
        <v>122</v>
      </c>
      <c r="B127" s="2" t="s">
        <v>221</v>
      </c>
      <c r="C127" s="3" t="s">
        <v>158</v>
      </c>
      <c r="D127" s="2" t="s">
        <v>234</v>
      </c>
      <c r="E127" s="3" t="s">
        <v>235</v>
      </c>
      <c r="F127" s="2" t="s">
        <v>96</v>
      </c>
      <c r="G127" s="2"/>
      <c r="H127" s="3"/>
      <c r="I127" s="2"/>
    </row>
    <row r="128" spans="1:9" ht="25.5" x14ac:dyDescent="0.25">
      <c r="A128" s="2">
        <v>123</v>
      </c>
      <c r="B128" s="2" t="s">
        <v>221</v>
      </c>
      <c r="C128" s="3" t="s">
        <v>158</v>
      </c>
      <c r="D128" s="2" t="s">
        <v>236</v>
      </c>
      <c r="E128" s="3" t="s">
        <v>237</v>
      </c>
      <c r="F128" s="2" t="s">
        <v>96</v>
      </c>
      <c r="G128" s="2"/>
      <c r="H128" s="3"/>
      <c r="I128" s="2"/>
    </row>
    <row r="129" spans="1:9" x14ac:dyDescent="0.25">
      <c r="A129" s="2">
        <v>124</v>
      </c>
      <c r="B129" s="2" t="s">
        <v>221</v>
      </c>
      <c r="C129" s="3" t="s">
        <v>158</v>
      </c>
      <c r="D129" s="2" t="s">
        <v>238</v>
      </c>
      <c r="E129" s="3" t="s">
        <v>239</v>
      </c>
      <c r="F129" s="2" t="s">
        <v>96</v>
      </c>
      <c r="G129" s="2"/>
      <c r="H129" s="3"/>
      <c r="I129" s="2"/>
    </row>
    <row r="130" spans="1:9" ht="25.5" x14ac:dyDescent="0.25">
      <c r="A130" s="2">
        <v>125</v>
      </c>
      <c r="B130" s="2" t="s">
        <v>221</v>
      </c>
      <c r="C130" s="3" t="s">
        <v>189</v>
      </c>
      <c r="D130" s="2"/>
      <c r="E130" s="3" t="s">
        <v>240</v>
      </c>
      <c r="F130" s="2" t="s">
        <v>62</v>
      </c>
      <c r="G130" s="2"/>
      <c r="H130" s="3"/>
      <c r="I130" s="2"/>
    </row>
    <row r="131" spans="1:9" ht="25.5" x14ac:dyDescent="0.25">
      <c r="A131" s="2">
        <v>126</v>
      </c>
      <c r="B131" s="2" t="s">
        <v>221</v>
      </c>
      <c r="C131" s="3" t="s">
        <v>189</v>
      </c>
      <c r="D131" s="2"/>
      <c r="E131" s="3" t="s">
        <v>241</v>
      </c>
      <c r="F131" s="2" t="s">
        <v>62</v>
      </c>
      <c r="G131" s="2"/>
      <c r="H131" s="3"/>
      <c r="I131" s="2"/>
    </row>
    <row r="132" spans="1:9" ht="25.5" x14ac:dyDescent="0.25">
      <c r="A132" s="2">
        <v>127</v>
      </c>
      <c r="B132" s="2" t="s">
        <v>242</v>
      </c>
      <c r="C132" s="3" t="s">
        <v>12</v>
      </c>
      <c r="D132" s="2"/>
      <c r="E132" s="3" t="s">
        <v>243</v>
      </c>
      <c r="F132" s="2" t="s">
        <v>12</v>
      </c>
      <c r="G132" s="2"/>
      <c r="H132" s="3"/>
      <c r="I132" s="2"/>
    </row>
    <row r="133" spans="1:9" ht="25.5" x14ac:dyDescent="0.25">
      <c r="A133" s="2">
        <v>128</v>
      </c>
      <c r="B133" s="2" t="s">
        <v>242</v>
      </c>
      <c r="C133" s="3" t="s">
        <v>12</v>
      </c>
      <c r="D133" s="2"/>
      <c r="E133" s="3" t="s">
        <v>244</v>
      </c>
      <c r="F133" s="2" t="s">
        <v>12</v>
      </c>
      <c r="G133" s="2"/>
      <c r="H133" s="3"/>
      <c r="I133" s="2"/>
    </row>
    <row r="134" spans="1:9" ht="25.5" x14ac:dyDescent="0.25">
      <c r="A134" s="2">
        <v>129</v>
      </c>
      <c r="B134" s="2" t="s">
        <v>242</v>
      </c>
      <c r="C134" s="3" t="s">
        <v>12</v>
      </c>
      <c r="D134" s="2"/>
      <c r="E134" s="3" t="s">
        <v>245</v>
      </c>
      <c r="F134" s="2" t="s">
        <v>12</v>
      </c>
      <c r="G134" s="2"/>
      <c r="H134" s="3"/>
      <c r="I134" s="2"/>
    </row>
    <row r="135" spans="1:9" ht="25.5" x14ac:dyDescent="0.25">
      <c r="A135" s="2">
        <v>130</v>
      </c>
      <c r="B135" s="2" t="s">
        <v>242</v>
      </c>
      <c r="C135" s="3" t="s">
        <v>246</v>
      </c>
      <c r="D135" s="2" t="s">
        <v>247</v>
      </c>
      <c r="E135" s="3" t="s">
        <v>248</v>
      </c>
      <c r="F135" s="2" t="s">
        <v>4</v>
      </c>
      <c r="G135" s="2"/>
      <c r="H135" s="3"/>
      <c r="I135" s="2"/>
    </row>
    <row r="136" spans="1:9" ht="25.5" x14ac:dyDescent="0.25">
      <c r="A136" s="2">
        <v>131</v>
      </c>
      <c r="B136" s="2" t="s">
        <v>242</v>
      </c>
      <c r="C136" s="3" t="s">
        <v>246</v>
      </c>
      <c r="D136" s="2" t="s">
        <v>249</v>
      </c>
      <c r="E136" s="3" t="s">
        <v>250</v>
      </c>
      <c r="F136" s="2" t="s">
        <v>4</v>
      </c>
      <c r="G136" s="2"/>
      <c r="H136" s="3"/>
      <c r="I136" s="2"/>
    </row>
    <row r="137" spans="1:9" ht="25.5" x14ac:dyDescent="0.25">
      <c r="A137" s="2">
        <v>132</v>
      </c>
      <c r="B137" s="2" t="s">
        <v>242</v>
      </c>
      <c r="C137" s="3" t="s">
        <v>246</v>
      </c>
      <c r="D137" s="2" t="s">
        <v>251</v>
      </c>
      <c r="E137" s="3" t="s">
        <v>252</v>
      </c>
      <c r="F137" s="2" t="s">
        <v>4</v>
      </c>
      <c r="G137" s="2"/>
      <c r="H137" s="3"/>
      <c r="I137" s="2"/>
    </row>
    <row r="138" spans="1:9" ht="25.5" x14ac:dyDescent="0.25">
      <c r="A138" s="2">
        <v>133</v>
      </c>
      <c r="B138" s="2" t="s">
        <v>242</v>
      </c>
      <c r="C138" s="3" t="s">
        <v>246</v>
      </c>
      <c r="D138" s="2" t="s">
        <v>253</v>
      </c>
      <c r="E138" s="3" t="s">
        <v>254</v>
      </c>
      <c r="F138" s="2" t="s">
        <v>4</v>
      </c>
      <c r="G138" s="2"/>
      <c r="H138" s="3"/>
      <c r="I138" s="2"/>
    </row>
    <row r="139" spans="1:9" ht="25.5" x14ac:dyDescent="0.25">
      <c r="A139" s="2">
        <v>134</v>
      </c>
      <c r="B139" s="2" t="s">
        <v>242</v>
      </c>
      <c r="C139" s="3" t="s">
        <v>246</v>
      </c>
      <c r="D139" s="2" t="s">
        <v>255</v>
      </c>
      <c r="E139" s="3" t="s">
        <v>256</v>
      </c>
      <c r="F139" s="2" t="s">
        <v>4</v>
      </c>
      <c r="G139" s="2"/>
      <c r="H139" s="3"/>
      <c r="I139" s="2"/>
    </row>
    <row r="140" spans="1:9" ht="25.5" x14ac:dyDescent="0.25">
      <c r="A140" s="2">
        <v>135</v>
      </c>
      <c r="B140" s="2" t="s">
        <v>242</v>
      </c>
      <c r="C140" s="3" t="s">
        <v>246</v>
      </c>
      <c r="D140" s="2" t="s">
        <v>257</v>
      </c>
      <c r="E140" s="3" t="s">
        <v>258</v>
      </c>
      <c r="F140" s="2" t="s">
        <v>4</v>
      </c>
      <c r="G140" s="2"/>
      <c r="H140" s="3"/>
      <c r="I140" s="2"/>
    </row>
    <row r="141" spans="1:9" ht="38.25" x14ac:dyDescent="0.25">
      <c r="A141" s="2">
        <v>136</v>
      </c>
      <c r="B141" s="2" t="s">
        <v>242</v>
      </c>
      <c r="C141" s="3" t="s">
        <v>246</v>
      </c>
      <c r="D141" s="2" t="s">
        <v>259</v>
      </c>
      <c r="E141" s="3" t="s">
        <v>260</v>
      </c>
      <c r="F141" s="2" t="s">
        <v>4</v>
      </c>
      <c r="G141" s="2"/>
      <c r="H141" s="3"/>
      <c r="I141" s="2"/>
    </row>
    <row r="142" spans="1:9" ht="38.25" x14ac:dyDescent="0.25">
      <c r="A142" s="2">
        <v>137</v>
      </c>
      <c r="B142" s="2" t="s">
        <v>242</v>
      </c>
      <c r="C142" s="3" t="s">
        <v>261</v>
      </c>
      <c r="D142" s="2" t="s">
        <v>262</v>
      </c>
      <c r="E142" s="3" t="s">
        <v>263</v>
      </c>
      <c r="F142" s="2" t="s">
        <v>4</v>
      </c>
      <c r="G142" s="2"/>
      <c r="H142" s="3"/>
      <c r="I142" s="2"/>
    </row>
    <row r="143" spans="1:9" x14ac:dyDescent="0.25">
      <c r="A143" s="2">
        <v>138</v>
      </c>
      <c r="B143" s="2" t="s">
        <v>242</v>
      </c>
      <c r="C143" s="3" t="s">
        <v>261</v>
      </c>
      <c r="D143" s="2" t="s">
        <v>264</v>
      </c>
      <c r="E143" s="3" t="s">
        <v>265</v>
      </c>
      <c r="F143" s="2" t="s">
        <v>4</v>
      </c>
      <c r="G143" s="2"/>
      <c r="H143" s="3"/>
      <c r="I143" s="2"/>
    </row>
    <row r="144" spans="1:9" ht="25.5" x14ac:dyDescent="0.25">
      <c r="A144" s="2">
        <v>139</v>
      </c>
      <c r="B144" s="2" t="s">
        <v>242</v>
      </c>
      <c r="C144" s="3" t="s">
        <v>261</v>
      </c>
      <c r="D144" s="2" t="s">
        <v>266</v>
      </c>
      <c r="E144" s="3" t="s">
        <v>267</v>
      </c>
      <c r="F144" s="2" t="s">
        <v>4</v>
      </c>
      <c r="G144" s="2"/>
      <c r="H144" s="3"/>
      <c r="I144" s="2"/>
    </row>
    <row r="145" spans="1:9" x14ac:dyDescent="0.25">
      <c r="A145" s="2">
        <v>140</v>
      </c>
      <c r="B145" s="2" t="s">
        <v>242</v>
      </c>
      <c r="C145" s="3" t="s">
        <v>261</v>
      </c>
      <c r="D145" s="2" t="s">
        <v>268</v>
      </c>
      <c r="E145" s="3" t="s">
        <v>269</v>
      </c>
      <c r="F145" s="2" t="s">
        <v>4</v>
      </c>
      <c r="G145" s="2"/>
      <c r="H145" s="3"/>
      <c r="I145" s="2"/>
    </row>
    <row r="146" spans="1:9" ht="25.5" x14ac:dyDescent="0.25">
      <c r="A146" s="2">
        <v>141</v>
      </c>
      <c r="B146" s="2" t="s">
        <v>242</v>
      </c>
      <c r="C146" s="3" t="s">
        <v>261</v>
      </c>
      <c r="D146" s="2" t="s">
        <v>270</v>
      </c>
      <c r="E146" s="3" t="s">
        <v>271</v>
      </c>
      <c r="F146" s="2" t="s">
        <v>4</v>
      </c>
      <c r="G146" s="2"/>
      <c r="H146" s="3"/>
      <c r="I146" s="2"/>
    </row>
    <row r="147" spans="1:9" ht="25.5" x14ac:dyDescent="0.25">
      <c r="A147" s="2">
        <v>142</v>
      </c>
      <c r="B147" s="2" t="s">
        <v>242</v>
      </c>
      <c r="C147" s="3" t="s">
        <v>261</v>
      </c>
      <c r="D147" s="2" t="s">
        <v>272</v>
      </c>
      <c r="E147" s="3" t="s">
        <v>273</v>
      </c>
      <c r="F147" s="2" t="s">
        <v>4</v>
      </c>
      <c r="G147" s="2"/>
      <c r="H147" s="3"/>
      <c r="I147" s="2"/>
    </row>
    <row r="148" spans="1:9" x14ac:dyDescent="0.25">
      <c r="A148" s="2">
        <v>143</v>
      </c>
      <c r="B148" s="2" t="s">
        <v>242</v>
      </c>
      <c r="C148" s="3" t="s">
        <v>261</v>
      </c>
      <c r="D148" s="2" t="s">
        <v>274</v>
      </c>
      <c r="E148" s="3" t="s">
        <v>275</v>
      </c>
      <c r="F148" s="2" t="s">
        <v>4</v>
      </c>
      <c r="G148" s="2"/>
      <c r="H148" s="3"/>
      <c r="I148" s="2"/>
    </row>
    <row r="149" spans="1:9" ht="25.5" x14ac:dyDescent="0.25">
      <c r="A149" s="2">
        <v>144</v>
      </c>
      <c r="B149" s="2" t="s">
        <v>242</v>
      </c>
      <c r="C149" s="3" t="s">
        <v>261</v>
      </c>
      <c r="D149" s="2" t="s">
        <v>276</v>
      </c>
      <c r="E149" s="3" t="s">
        <v>277</v>
      </c>
      <c r="F149" s="2" t="s">
        <v>4</v>
      </c>
      <c r="G149" s="2"/>
      <c r="H149" s="3"/>
      <c r="I149" s="2"/>
    </row>
    <row r="150" spans="1:9" ht="25.5" x14ac:dyDescent="0.25">
      <c r="A150" s="2">
        <v>145</v>
      </c>
      <c r="B150" s="2" t="s">
        <v>242</v>
      </c>
      <c r="C150" s="3" t="s">
        <v>261</v>
      </c>
      <c r="D150" s="2" t="s">
        <v>278</v>
      </c>
      <c r="E150" s="3" t="s">
        <v>279</v>
      </c>
      <c r="F150" s="2" t="s">
        <v>4</v>
      </c>
      <c r="G150" s="2"/>
      <c r="H150" s="3"/>
      <c r="I150" s="2"/>
    </row>
    <row r="151" spans="1:9" ht="25.5" x14ac:dyDescent="0.25">
      <c r="A151" s="2">
        <v>146</v>
      </c>
      <c r="B151" s="2" t="s">
        <v>242</v>
      </c>
      <c r="C151" s="3" t="s">
        <v>189</v>
      </c>
      <c r="D151" s="2"/>
      <c r="E151" s="3" t="s">
        <v>280</v>
      </c>
      <c r="F151" s="2" t="s">
        <v>62</v>
      </c>
      <c r="G151" s="2"/>
      <c r="H151" s="3"/>
      <c r="I151" s="2"/>
    </row>
    <row r="152" spans="1:9" ht="25.5" x14ac:dyDescent="0.25">
      <c r="A152" s="2">
        <v>147</v>
      </c>
      <c r="B152" s="2" t="s">
        <v>242</v>
      </c>
      <c r="C152" s="3" t="s">
        <v>189</v>
      </c>
      <c r="D152" s="2"/>
      <c r="E152" s="3" t="s">
        <v>281</v>
      </c>
      <c r="F152" s="2" t="s">
        <v>62</v>
      </c>
      <c r="G152" s="2"/>
      <c r="H152" s="3"/>
      <c r="I152" s="2"/>
    </row>
    <row r="153" spans="1:9" ht="25.5" x14ac:dyDescent="0.25">
      <c r="A153" s="2">
        <v>148</v>
      </c>
      <c r="B153" s="2" t="s">
        <v>242</v>
      </c>
      <c r="C153" s="3" t="s">
        <v>189</v>
      </c>
      <c r="D153" s="2"/>
      <c r="E153" s="3" t="s">
        <v>282</v>
      </c>
      <c r="F153" s="2" t="s">
        <v>62</v>
      </c>
      <c r="G153" s="2"/>
      <c r="H153" s="3"/>
      <c r="I153" s="2"/>
    </row>
    <row r="154" spans="1:9" ht="25.5" x14ac:dyDescent="0.25">
      <c r="A154" s="2">
        <v>149</v>
      </c>
      <c r="B154" s="2" t="s">
        <v>242</v>
      </c>
      <c r="C154" s="3" t="s">
        <v>189</v>
      </c>
      <c r="D154" s="2"/>
      <c r="E154" s="3" t="s">
        <v>283</v>
      </c>
      <c r="F154" s="2" t="s">
        <v>62</v>
      </c>
      <c r="G154" s="2"/>
      <c r="H154" s="3"/>
      <c r="I154" s="2"/>
    </row>
    <row r="155" spans="1:9" ht="51" x14ac:dyDescent="0.25">
      <c r="A155" s="2">
        <v>150</v>
      </c>
      <c r="B155" s="2" t="s">
        <v>242</v>
      </c>
      <c r="C155" s="3" t="s">
        <v>284</v>
      </c>
      <c r="D155" s="2" t="s">
        <v>285</v>
      </c>
      <c r="E155" s="3" t="s">
        <v>286</v>
      </c>
      <c r="F155" s="2" t="s">
        <v>4</v>
      </c>
      <c r="G155" s="2"/>
      <c r="H155" s="3"/>
      <c r="I155" s="2"/>
    </row>
    <row r="156" spans="1:9" ht="38.25" x14ac:dyDescent="0.25">
      <c r="A156" s="2">
        <v>151</v>
      </c>
      <c r="B156" s="2" t="s">
        <v>242</v>
      </c>
      <c r="C156" s="3" t="s">
        <v>284</v>
      </c>
      <c r="D156" s="2" t="s">
        <v>287</v>
      </c>
      <c r="E156" s="3" t="s">
        <v>288</v>
      </c>
      <c r="F156" s="2" t="s">
        <v>4</v>
      </c>
      <c r="G156" s="2"/>
      <c r="H156" s="3"/>
      <c r="I156" s="2"/>
    </row>
    <row r="157" spans="1:9" x14ac:dyDescent="0.25">
      <c r="A157" s="2">
        <v>152</v>
      </c>
      <c r="B157" s="2" t="s">
        <v>289</v>
      </c>
      <c r="C157" s="3" t="s">
        <v>12</v>
      </c>
      <c r="D157" s="2"/>
      <c r="E157" s="3" t="s">
        <v>290</v>
      </c>
      <c r="F157" s="2" t="s">
        <v>12</v>
      </c>
      <c r="G157" s="2"/>
      <c r="H157" s="3"/>
      <c r="I157" s="2"/>
    </row>
    <row r="158" spans="1:9" ht="25.5" x14ac:dyDescent="0.25">
      <c r="A158" s="2">
        <v>153</v>
      </c>
      <c r="B158" s="2" t="s">
        <v>289</v>
      </c>
      <c r="C158" s="3" t="s">
        <v>12</v>
      </c>
      <c r="D158" s="2" t="s">
        <v>291</v>
      </c>
      <c r="E158" s="3" t="s">
        <v>292</v>
      </c>
      <c r="F158" s="2" t="s">
        <v>12</v>
      </c>
      <c r="G158" s="2"/>
      <c r="H158" s="3"/>
      <c r="I158" s="2"/>
    </row>
    <row r="159" spans="1:9" x14ac:dyDescent="0.25">
      <c r="A159" s="2">
        <v>154</v>
      </c>
      <c r="B159" s="2" t="s">
        <v>289</v>
      </c>
      <c r="C159" s="3" t="s">
        <v>12</v>
      </c>
      <c r="D159" s="2"/>
      <c r="E159" s="3" t="s">
        <v>293</v>
      </c>
      <c r="F159" s="2" t="s">
        <v>12</v>
      </c>
      <c r="G159" s="2"/>
      <c r="H159" s="3"/>
      <c r="I159" s="2"/>
    </row>
    <row r="160" spans="1:9" ht="25.5" x14ac:dyDescent="0.25">
      <c r="A160" s="2">
        <v>155</v>
      </c>
      <c r="B160" s="2" t="s">
        <v>289</v>
      </c>
      <c r="C160" s="3" t="s">
        <v>294</v>
      </c>
      <c r="D160" s="2" t="s">
        <v>295</v>
      </c>
      <c r="E160" s="3" t="s">
        <v>296</v>
      </c>
      <c r="F160" s="2" t="s">
        <v>4</v>
      </c>
      <c r="G160" s="2"/>
      <c r="H160" s="3"/>
      <c r="I160" s="2"/>
    </row>
    <row r="161" spans="1:9" ht="25.5" x14ac:dyDescent="0.25">
      <c r="A161" s="2">
        <v>156</v>
      </c>
      <c r="B161" s="2" t="s">
        <v>289</v>
      </c>
      <c r="C161" s="3" t="s">
        <v>294</v>
      </c>
      <c r="D161" s="2"/>
      <c r="E161" s="3" t="s">
        <v>297</v>
      </c>
      <c r="F161" s="2" t="s">
        <v>4</v>
      </c>
      <c r="G161" s="2"/>
      <c r="H161" s="3"/>
      <c r="I161" s="2"/>
    </row>
    <row r="162" spans="1:9" ht="25.5" x14ac:dyDescent="0.25">
      <c r="A162" s="2">
        <v>157</v>
      </c>
      <c r="B162" s="2" t="s">
        <v>289</v>
      </c>
      <c r="C162" s="3" t="s">
        <v>294</v>
      </c>
      <c r="D162" s="2" t="s">
        <v>298</v>
      </c>
      <c r="E162" s="3" t="s">
        <v>299</v>
      </c>
      <c r="F162" s="2" t="s">
        <v>4</v>
      </c>
      <c r="G162" s="2"/>
      <c r="H162" s="3"/>
      <c r="I162" s="2"/>
    </row>
    <row r="163" spans="1:9" ht="25.5" x14ac:dyDescent="0.25">
      <c r="A163" s="2">
        <v>158</v>
      </c>
      <c r="B163" s="2" t="s">
        <v>289</v>
      </c>
      <c r="C163" s="3" t="s">
        <v>300</v>
      </c>
      <c r="D163" s="2"/>
      <c r="E163" s="3" t="s">
        <v>301</v>
      </c>
      <c r="F163" s="2" t="s">
        <v>4</v>
      </c>
      <c r="G163" s="2"/>
      <c r="H163" s="3"/>
      <c r="I163" s="2"/>
    </row>
    <row r="164" spans="1:9" ht="25.5" x14ac:dyDescent="0.25">
      <c r="A164" s="2">
        <v>159</v>
      </c>
      <c r="B164" s="2" t="s">
        <v>289</v>
      </c>
      <c r="C164" s="3" t="s">
        <v>300</v>
      </c>
      <c r="D164" s="2" t="s">
        <v>302</v>
      </c>
      <c r="E164" s="3" t="s">
        <v>303</v>
      </c>
      <c r="F164" s="2" t="s">
        <v>4</v>
      </c>
      <c r="G164" s="2"/>
      <c r="H164" s="3"/>
      <c r="I164" s="2"/>
    </row>
    <row r="165" spans="1:9" ht="25.5" x14ac:dyDescent="0.25">
      <c r="A165" s="2">
        <v>160</v>
      </c>
      <c r="B165" s="2" t="s">
        <v>289</v>
      </c>
      <c r="C165" s="3" t="s">
        <v>304</v>
      </c>
      <c r="D165" s="2" t="s">
        <v>305</v>
      </c>
      <c r="E165" s="3" t="s">
        <v>306</v>
      </c>
      <c r="F165" s="2" t="s">
        <v>4</v>
      </c>
      <c r="G165" s="2"/>
      <c r="H165" s="3"/>
      <c r="I165" s="2"/>
    </row>
    <row r="166" spans="1:9" ht="25.5" x14ac:dyDescent="0.25">
      <c r="A166" s="2">
        <v>161</v>
      </c>
      <c r="B166" s="2" t="s">
        <v>289</v>
      </c>
      <c r="C166" s="3" t="s">
        <v>304</v>
      </c>
      <c r="D166" s="2" t="s">
        <v>307</v>
      </c>
      <c r="E166" s="3" t="s">
        <v>308</v>
      </c>
      <c r="F166" s="2" t="s">
        <v>4</v>
      </c>
      <c r="G166" s="2"/>
      <c r="H166" s="3"/>
      <c r="I166" s="2"/>
    </row>
    <row r="167" spans="1:9" ht="25.5" x14ac:dyDescent="0.25">
      <c r="A167" s="2">
        <v>162</v>
      </c>
      <c r="B167" s="2" t="s">
        <v>289</v>
      </c>
      <c r="C167" s="3" t="s">
        <v>304</v>
      </c>
      <c r="D167" s="2" t="s">
        <v>309</v>
      </c>
      <c r="E167" s="3" t="s">
        <v>310</v>
      </c>
      <c r="F167" s="2" t="s">
        <v>4</v>
      </c>
      <c r="G167" s="2"/>
      <c r="H167" s="3"/>
      <c r="I167" s="2"/>
    </row>
    <row r="168" spans="1:9" ht="25.5" x14ac:dyDescent="0.25">
      <c r="A168" s="2">
        <v>163</v>
      </c>
      <c r="B168" s="2" t="s">
        <v>289</v>
      </c>
      <c r="C168" s="3" t="s">
        <v>311</v>
      </c>
      <c r="D168" s="2" t="s">
        <v>312</v>
      </c>
      <c r="E168" s="3" t="s">
        <v>313</v>
      </c>
      <c r="F168" s="2" t="s">
        <v>4</v>
      </c>
      <c r="G168" s="2"/>
      <c r="H168" s="3"/>
      <c r="I168" s="2"/>
    </row>
    <row r="169" spans="1:9" ht="25.5" x14ac:dyDescent="0.25">
      <c r="A169" s="2">
        <v>164</v>
      </c>
      <c r="B169" s="2" t="s">
        <v>289</v>
      </c>
      <c r="C169" s="3" t="s">
        <v>311</v>
      </c>
      <c r="D169" s="2" t="s">
        <v>314</v>
      </c>
      <c r="E169" s="3" t="s">
        <v>315</v>
      </c>
      <c r="F169" s="2" t="s">
        <v>4</v>
      </c>
      <c r="G169" s="2"/>
      <c r="H169" s="3"/>
      <c r="I169" s="2"/>
    </row>
    <row r="170" spans="1:9" ht="25.5" x14ac:dyDescent="0.25">
      <c r="A170" s="2">
        <v>165</v>
      </c>
      <c r="B170" s="2" t="s">
        <v>289</v>
      </c>
      <c r="C170" s="3" t="s">
        <v>134</v>
      </c>
      <c r="D170" s="2"/>
      <c r="E170" s="3" t="s">
        <v>316</v>
      </c>
      <c r="F170" s="2" t="s">
        <v>62</v>
      </c>
      <c r="G170" s="2"/>
      <c r="H170" s="3"/>
      <c r="I170" s="2"/>
    </row>
    <row r="171" spans="1:9" ht="25.5" x14ac:dyDescent="0.25">
      <c r="A171" s="2">
        <v>166</v>
      </c>
      <c r="B171" s="2" t="s">
        <v>289</v>
      </c>
      <c r="C171" s="3" t="s">
        <v>134</v>
      </c>
      <c r="D171" s="2"/>
      <c r="E171" s="3" t="s">
        <v>317</v>
      </c>
      <c r="F171" s="2" t="s">
        <v>62</v>
      </c>
      <c r="G171" s="2"/>
      <c r="H171" s="3"/>
      <c r="I171" s="2"/>
    </row>
    <row r="172" spans="1:9" ht="25.5" x14ac:dyDescent="0.25">
      <c r="A172" s="2">
        <v>167</v>
      </c>
      <c r="B172" s="2" t="s">
        <v>289</v>
      </c>
      <c r="C172" s="3" t="s">
        <v>134</v>
      </c>
      <c r="D172" s="2"/>
      <c r="E172" s="3" t="s">
        <v>318</v>
      </c>
      <c r="F172" s="2" t="s">
        <v>62</v>
      </c>
      <c r="G172" s="2"/>
      <c r="H172" s="3"/>
      <c r="I172" s="2"/>
    </row>
    <row r="173" spans="1:9" ht="25.5" x14ac:dyDescent="0.25">
      <c r="A173" s="2">
        <v>168</v>
      </c>
      <c r="B173" s="2" t="s">
        <v>289</v>
      </c>
      <c r="C173" s="3" t="s">
        <v>134</v>
      </c>
      <c r="D173" s="2"/>
      <c r="E173" s="3" t="s">
        <v>319</v>
      </c>
      <c r="F173" s="2" t="s">
        <v>62</v>
      </c>
      <c r="G173" s="2"/>
      <c r="H173" s="3"/>
      <c r="I173" s="2"/>
    </row>
    <row r="174" spans="1:9" x14ac:dyDescent="0.25">
      <c r="A174" s="2">
        <v>169</v>
      </c>
      <c r="B174" s="2" t="s">
        <v>289</v>
      </c>
      <c r="C174" s="3" t="s">
        <v>134</v>
      </c>
      <c r="D174" s="2" t="s">
        <v>320</v>
      </c>
      <c r="E174" s="3" t="s">
        <v>321</v>
      </c>
      <c r="F174" s="2" t="s">
        <v>62</v>
      </c>
      <c r="G174" s="2"/>
      <c r="H174" s="3"/>
      <c r="I174" s="2"/>
    </row>
    <row r="175" spans="1:9" x14ac:dyDescent="0.25">
      <c r="A175" s="2">
        <v>170</v>
      </c>
      <c r="B175" s="2" t="s">
        <v>322</v>
      </c>
      <c r="C175" s="3" t="s">
        <v>12</v>
      </c>
      <c r="D175" s="2"/>
      <c r="E175" s="3" t="s">
        <v>323</v>
      </c>
      <c r="F175" s="2" t="s">
        <v>12</v>
      </c>
      <c r="G175" s="2"/>
      <c r="H175" s="3"/>
      <c r="I175" s="2"/>
    </row>
    <row r="176" spans="1:9" ht="25.5" x14ac:dyDescent="0.25">
      <c r="A176" s="2">
        <v>171</v>
      </c>
      <c r="B176" s="2" t="s">
        <v>322</v>
      </c>
      <c r="C176" s="3" t="s">
        <v>12</v>
      </c>
      <c r="D176" s="2"/>
      <c r="E176" s="3" t="s">
        <v>324</v>
      </c>
      <c r="F176" s="2" t="s">
        <v>12</v>
      </c>
      <c r="G176" s="2"/>
      <c r="H176" s="3"/>
      <c r="I176" s="2"/>
    </row>
    <row r="177" spans="1:9" x14ac:dyDescent="0.25">
      <c r="A177" s="2">
        <v>172</v>
      </c>
      <c r="B177" s="2" t="s">
        <v>322</v>
      </c>
      <c r="C177" s="3" t="s">
        <v>116</v>
      </c>
      <c r="D177" s="2" t="s">
        <v>29</v>
      </c>
      <c r="E177" s="3" t="s">
        <v>325</v>
      </c>
      <c r="F177" s="2" t="s">
        <v>4</v>
      </c>
      <c r="G177" s="2"/>
      <c r="H177" s="3"/>
      <c r="I177" s="2"/>
    </row>
    <row r="178" spans="1:9" ht="38.25" x14ac:dyDescent="0.25">
      <c r="A178" s="2">
        <v>173</v>
      </c>
      <c r="B178" s="2" t="s">
        <v>322</v>
      </c>
      <c r="C178" s="3" t="s">
        <v>326</v>
      </c>
      <c r="D178" s="2" t="s">
        <v>327</v>
      </c>
      <c r="E178" s="3" t="s">
        <v>328</v>
      </c>
      <c r="F178" s="2" t="s">
        <v>4</v>
      </c>
      <c r="G178" s="2"/>
      <c r="H178" s="3"/>
      <c r="I178" s="2"/>
    </row>
    <row r="179" spans="1:9" ht="38.25" x14ac:dyDescent="0.25">
      <c r="A179" s="2">
        <v>174</v>
      </c>
      <c r="B179" s="2" t="s">
        <v>322</v>
      </c>
      <c r="C179" s="3" t="s">
        <v>326</v>
      </c>
      <c r="D179" s="2" t="s">
        <v>329</v>
      </c>
      <c r="E179" s="3" t="s">
        <v>330</v>
      </c>
      <c r="F179" s="2" t="s">
        <v>4</v>
      </c>
      <c r="G179" s="2"/>
      <c r="H179" s="3"/>
      <c r="I179" s="2"/>
    </row>
    <row r="180" spans="1:9" ht="38.25" x14ac:dyDescent="0.25">
      <c r="A180" s="2">
        <v>175</v>
      </c>
      <c r="B180" s="2" t="s">
        <v>322</v>
      </c>
      <c r="C180" s="3" t="s">
        <v>326</v>
      </c>
      <c r="D180" s="2" t="s">
        <v>331</v>
      </c>
      <c r="E180" s="3" t="s">
        <v>332</v>
      </c>
      <c r="F180" s="2" t="s">
        <v>4</v>
      </c>
      <c r="G180" s="2"/>
      <c r="H180" s="3"/>
      <c r="I180" s="2"/>
    </row>
    <row r="181" spans="1:9" ht="38.25" x14ac:dyDescent="0.25">
      <c r="A181" s="2">
        <v>176</v>
      </c>
      <c r="B181" s="2" t="s">
        <v>322</v>
      </c>
      <c r="C181" s="3" t="s">
        <v>326</v>
      </c>
      <c r="D181" s="2"/>
      <c r="E181" s="3" t="s">
        <v>333</v>
      </c>
      <c r="F181" s="2" t="s">
        <v>4</v>
      </c>
      <c r="G181" s="2"/>
      <c r="H181" s="3"/>
      <c r="I181" s="2"/>
    </row>
    <row r="182" spans="1:9" ht="25.5" x14ac:dyDescent="0.25">
      <c r="A182" s="2">
        <v>177</v>
      </c>
      <c r="B182" s="2" t="s">
        <v>322</v>
      </c>
      <c r="C182" s="3" t="s">
        <v>334</v>
      </c>
      <c r="D182" s="2"/>
      <c r="E182" s="3" t="s">
        <v>335</v>
      </c>
      <c r="F182" s="2" t="s">
        <v>4</v>
      </c>
      <c r="G182" s="2"/>
      <c r="H182" s="3"/>
      <c r="I182" s="2"/>
    </row>
    <row r="183" spans="1:9" ht="25.5" x14ac:dyDescent="0.25">
      <c r="A183" s="2">
        <v>178</v>
      </c>
      <c r="B183" s="2" t="s">
        <v>322</v>
      </c>
      <c r="C183" s="3" t="s">
        <v>334</v>
      </c>
      <c r="D183" s="2"/>
      <c r="E183" s="3" t="s">
        <v>336</v>
      </c>
      <c r="F183" s="2" t="s">
        <v>4</v>
      </c>
      <c r="G183" s="2"/>
      <c r="H183" s="3"/>
      <c r="I183" s="2"/>
    </row>
    <row r="184" spans="1:9" ht="25.5" x14ac:dyDescent="0.25">
      <c r="A184" s="2">
        <v>179</v>
      </c>
      <c r="B184" s="2" t="s">
        <v>322</v>
      </c>
      <c r="C184" s="3" t="s">
        <v>134</v>
      </c>
      <c r="D184" s="2"/>
      <c r="E184" s="3" t="s">
        <v>337</v>
      </c>
      <c r="F184" s="2" t="s">
        <v>62</v>
      </c>
      <c r="G184" s="2"/>
      <c r="H184" s="3"/>
      <c r="I184" s="2"/>
    </row>
    <row r="185" spans="1:9" ht="25.5" x14ac:dyDescent="0.25">
      <c r="A185" s="2">
        <v>180</v>
      </c>
      <c r="B185" s="2" t="s">
        <v>322</v>
      </c>
      <c r="C185" s="3" t="s">
        <v>134</v>
      </c>
      <c r="D185" s="2"/>
      <c r="E185" s="3" t="s">
        <v>338</v>
      </c>
      <c r="F185" s="2" t="s">
        <v>62</v>
      </c>
      <c r="G185" s="2"/>
      <c r="H185" s="3"/>
      <c r="I185" s="2"/>
    </row>
    <row r="186" spans="1:9" x14ac:dyDescent="0.25">
      <c r="A186" s="2">
        <v>181</v>
      </c>
      <c r="B186" s="2" t="s">
        <v>322</v>
      </c>
      <c r="C186" s="3" t="s">
        <v>134</v>
      </c>
      <c r="D186" s="2"/>
      <c r="E186" s="3" t="s">
        <v>339</v>
      </c>
      <c r="F186" s="2" t="s">
        <v>62</v>
      </c>
      <c r="G186" s="2"/>
      <c r="H186" s="3"/>
      <c r="I186" s="2"/>
    </row>
    <row r="187" spans="1:9" ht="25.5" x14ac:dyDescent="0.25">
      <c r="A187" s="2">
        <v>182</v>
      </c>
      <c r="B187" s="2" t="s">
        <v>340</v>
      </c>
      <c r="C187" s="3" t="s">
        <v>12</v>
      </c>
      <c r="D187" s="2"/>
      <c r="E187" s="3" t="s">
        <v>341</v>
      </c>
      <c r="F187" s="2" t="s">
        <v>12</v>
      </c>
      <c r="G187" s="2"/>
      <c r="H187" s="3"/>
      <c r="I187" s="2"/>
    </row>
    <row r="188" spans="1:9" ht="25.5" x14ac:dyDescent="0.25">
      <c r="A188" s="2">
        <v>183</v>
      </c>
      <c r="B188" s="2" t="s">
        <v>340</v>
      </c>
      <c r="C188" s="3" t="s">
        <v>12</v>
      </c>
      <c r="D188" s="2"/>
      <c r="E188" s="3" t="s">
        <v>342</v>
      </c>
      <c r="F188" s="2" t="s">
        <v>12</v>
      </c>
      <c r="G188" s="2"/>
      <c r="H188" s="3"/>
      <c r="I188" s="2"/>
    </row>
    <row r="189" spans="1:9" ht="25.5" x14ac:dyDescent="0.25">
      <c r="A189" s="2">
        <v>184</v>
      </c>
      <c r="B189" s="2" t="s">
        <v>340</v>
      </c>
      <c r="C189" s="3" t="s">
        <v>343</v>
      </c>
      <c r="D189" s="2" t="s">
        <v>344</v>
      </c>
      <c r="E189" s="3" t="s">
        <v>345</v>
      </c>
      <c r="F189" s="2" t="s">
        <v>4</v>
      </c>
      <c r="G189" s="2"/>
      <c r="H189" s="3"/>
      <c r="I189" s="2"/>
    </row>
    <row r="190" spans="1:9" ht="25.5" x14ac:dyDescent="0.25">
      <c r="A190" s="2">
        <v>185</v>
      </c>
      <c r="B190" s="2" t="s">
        <v>340</v>
      </c>
      <c r="C190" s="3" t="s">
        <v>343</v>
      </c>
      <c r="D190" s="2" t="s">
        <v>346</v>
      </c>
      <c r="E190" s="3" t="s">
        <v>347</v>
      </c>
      <c r="F190" s="2" t="s">
        <v>4</v>
      </c>
      <c r="G190" s="2"/>
      <c r="H190" s="3"/>
      <c r="I190" s="2"/>
    </row>
    <row r="191" spans="1:9" ht="25.5" x14ac:dyDescent="0.25">
      <c r="A191" s="2">
        <v>186</v>
      </c>
      <c r="B191" s="2" t="s">
        <v>340</v>
      </c>
      <c r="C191" s="3" t="s">
        <v>348</v>
      </c>
      <c r="D191" s="2" t="s">
        <v>349</v>
      </c>
      <c r="E191" s="3" t="s">
        <v>350</v>
      </c>
      <c r="F191" s="2" t="s">
        <v>4</v>
      </c>
      <c r="G191" s="2"/>
      <c r="H191" s="3"/>
      <c r="I191" s="2"/>
    </row>
    <row r="192" spans="1:9" ht="25.5" x14ac:dyDescent="0.25">
      <c r="A192" s="2">
        <v>187</v>
      </c>
      <c r="B192" s="2" t="s">
        <v>340</v>
      </c>
      <c r="C192" s="3" t="s">
        <v>351</v>
      </c>
      <c r="D192" s="2" t="s">
        <v>352</v>
      </c>
      <c r="E192" s="3" t="s">
        <v>353</v>
      </c>
      <c r="F192" s="2" t="s">
        <v>4</v>
      </c>
      <c r="G192" s="2"/>
      <c r="H192" s="3"/>
      <c r="I192" s="2"/>
    </row>
    <row r="193" spans="1:9" ht="25.5" x14ac:dyDescent="0.25">
      <c r="A193" s="2">
        <v>188</v>
      </c>
      <c r="B193" s="2" t="s">
        <v>340</v>
      </c>
      <c r="C193" s="3" t="s">
        <v>351</v>
      </c>
      <c r="D193" s="2" t="s">
        <v>354</v>
      </c>
      <c r="E193" s="3" t="s">
        <v>355</v>
      </c>
      <c r="F193" s="2" t="s">
        <v>4</v>
      </c>
      <c r="G193" s="2"/>
      <c r="H193" s="3"/>
      <c r="I193" s="2"/>
    </row>
    <row r="194" spans="1:9" ht="25.5" x14ac:dyDescent="0.25">
      <c r="A194" s="2">
        <v>189</v>
      </c>
      <c r="B194" s="2" t="s">
        <v>340</v>
      </c>
      <c r="C194" s="3" t="s">
        <v>356</v>
      </c>
      <c r="D194" s="2" t="s">
        <v>357</v>
      </c>
      <c r="E194" s="3" t="s">
        <v>358</v>
      </c>
      <c r="F194" s="2" t="s">
        <v>96</v>
      </c>
      <c r="G194" s="2"/>
      <c r="H194" s="3"/>
      <c r="I194" s="2"/>
    </row>
    <row r="195" spans="1:9" x14ac:dyDescent="0.25">
      <c r="A195" s="2">
        <v>190</v>
      </c>
      <c r="B195" s="2" t="s">
        <v>340</v>
      </c>
      <c r="C195" s="3" t="s">
        <v>134</v>
      </c>
      <c r="D195" s="2"/>
      <c r="E195" s="3" t="s">
        <v>359</v>
      </c>
      <c r="F195" s="2" t="s">
        <v>62</v>
      </c>
      <c r="G195" s="2"/>
      <c r="H195" s="3"/>
      <c r="I195" s="2"/>
    </row>
    <row r="196" spans="1:9" x14ac:dyDescent="0.25">
      <c r="A196" s="2">
        <v>191</v>
      </c>
      <c r="B196" s="2" t="s">
        <v>340</v>
      </c>
      <c r="C196" s="3" t="s">
        <v>134</v>
      </c>
      <c r="D196" s="2"/>
      <c r="E196" s="3" t="s">
        <v>360</v>
      </c>
      <c r="F196" s="2" t="s">
        <v>62</v>
      </c>
      <c r="G196" s="2"/>
      <c r="H196" s="3"/>
      <c r="I196" s="2"/>
    </row>
    <row r="197" spans="1:9" x14ac:dyDescent="0.25">
      <c r="A197" s="2">
        <v>192</v>
      </c>
      <c r="B197" s="2" t="s">
        <v>340</v>
      </c>
      <c r="C197" s="3" t="s">
        <v>134</v>
      </c>
      <c r="D197" s="2"/>
      <c r="E197" s="3" t="s">
        <v>361</v>
      </c>
      <c r="F197" s="2" t="s">
        <v>62</v>
      </c>
      <c r="G197" s="2"/>
      <c r="H197" s="3"/>
      <c r="I197" s="2"/>
    </row>
    <row r="198" spans="1:9" ht="25.5" x14ac:dyDescent="0.25">
      <c r="A198" s="2">
        <v>193</v>
      </c>
      <c r="B198" s="2" t="s">
        <v>340</v>
      </c>
      <c r="C198" s="3" t="s">
        <v>134</v>
      </c>
      <c r="D198" s="2"/>
      <c r="E198" s="3" t="s">
        <v>362</v>
      </c>
      <c r="F198" s="2" t="s">
        <v>62</v>
      </c>
      <c r="G198" s="2"/>
      <c r="H198" s="3"/>
      <c r="I198" s="2"/>
    </row>
    <row r="199" spans="1:9" x14ac:dyDescent="0.25">
      <c r="A199" s="2">
        <v>194</v>
      </c>
      <c r="B199" s="2" t="s">
        <v>363</v>
      </c>
      <c r="C199" s="3" t="s">
        <v>12</v>
      </c>
      <c r="D199" s="2"/>
      <c r="E199" s="3" t="s">
        <v>290</v>
      </c>
      <c r="F199" s="2" t="s">
        <v>12</v>
      </c>
      <c r="G199" s="2"/>
      <c r="H199" s="3"/>
      <c r="I199" s="2"/>
    </row>
    <row r="200" spans="1:9" ht="25.5" x14ac:dyDescent="0.25">
      <c r="A200" s="2">
        <v>195</v>
      </c>
      <c r="B200" s="2" t="s">
        <v>363</v>
      </c>
      <c r="C200" s="3" t="s">
        <v>12</v>
      </c>
      <c r="D200" s="2" t="s">
        <v>291</v>
      </c>
      <c r="E200" s="3" t="s">
        <v>364</v>
      </c>
      <c r="F200" s="2" t="s">
        <v>12</v>
      </c>
      <c r="G200" s="2"/>
      <c r="H200" s="3"/>
      <c r="I200" s="2"/>
    </row>
    <row r="201" spans="1:9" ht="25.5" x14ac:dyDescent="0.25">
      <c r="A201" s="2">
        <v>196</v>
      </c>
      <c r="B201" s="2" t="s">
        <v>363</v>
      </c>
      <c r="C201" s="3" t="s">
        <v>12</v>
      </c>
      <c r="D201" s="2"/>
      <c r="E201" s="3" t="s">
        <v>365</v>
      </c>
      <c r="F201" s="2" t="s">
        <v>12</v>
      </c>
      <c r="G201" s="2"/>
      <c r="H201" s="3"/>
      <c r="I201" s="2"/>
    </row>
    <row r="202" spans="1:9" ht="25.5" x14ac:dyDescent="0.25">
      <c r="A202" s="2">
        <v>197</v>
      </c>
      <c r="B202" s="2" t="s">
        <v>363</v>
      </c>
      <c r="C202" s="3" t="s">
        <v>366</v>
      </c>
      <c r="D202" s="2" t="s">
        <v>367</v>
      </c>
      <c r="E202" s="3" t="s">
        <v>368</v>
      </c>
      <c r="F202" s="2" t="s">
        <v>4</v>
      </c>
      <c r="G202" s="2"/>
      <c r="H202" s="3"/>
      <c r="I202" s="2"/>
    </row>
    <row r="203" spans="1:9" x14ac:dyDescent="0.25">
      <c r="A203" s="2">
        <v>198</v>
      </c>
      <c r="B203" s="2" t="s">
        <v>363</v>
      </c>
      <c r="C203" s="3" t="s">
        <v>366</v>
      </c>
      <c r="D203" s="2"/>
      <c r="E203" s="3" t="s">
        <v>369</v>
      </c>
      <c r="F203" s="2" t="s">
        <v>4</v>
      </c>
      <c r="G203" s="2"/>
      <c r="H203" s="3"/>
      <c r="I203" s="2"/>
    </row>
    <row r="204" spans="1:9" ht="25.5" x14ac:dyDescent="0.25">
      <c r="A204" s="2">
        <v>199</v>
      </c>
      <c r="B204" s="2" t="s">
        <v>363</v>
      </c>
      <c r="C204" s="3" t="s">
        <v>366</v>
      </c>
      <c r="D204" s="2" t="s">
        <v>370</v>
      </c>
      <c r="E204" s="3" t="s">
        <v>371</v>
      </c>
      <c r="F204" s="2" t="s">
        <v>4</v>
      </c>
      <c r="G204" s="2"/>
      <c r="H204" s="3"/>
      <c r="I204" s="2"/>
    </row>
    <row r="205" spans="1:9" x14ac:dyDescent="0.25">
      <c r="A205" s="2">
        <v>200</v>
      </c>
      <c r="B205" s="2" t="s">
        <v>363</v>
      </c>
      <c r="C205" s="3" t="s">
        <v>366</v>
      </c>
      <c r="D205" s="2"/>
      <c r="E205" s="3" t="s">
        <v>372</v>
      </c>
      <c r="F205" s="2" t="s">
        <v>4</v>
      </c>
      <c r="G205" s="2"/>
      <c r="H205" s="3"/>
      <c r="I205" s="2"/>
    </row>
    <row r="206" spans="1:9" ht="25.5" x14ac:dyDescent="0.25">
      <c r="A206" s="2">
        <v>201</v>
      </c>
      <c r="B206" s="2" t="s">
        <v>363</v>
      </c>
      <c r="C206" s="3" t="s">
        <v>373</v>
      </c>
      <c r="D206" s="2" t="s">
        <v>374</v>
      </c>
      <c r="E206" s="3" t="s">
        <v>375</v>
      </c>
      <c r="F206" s="2" t="s">
        <v>4</v>
      </c>
      <c r="G206" s="2"/>
      <c r="H206" s="3"/>
      <c r="I206" s="2"/>
    </row>
    <row r="207" spans="1:9" ht="25.5" x14ac:dyDescent="0.25">
      <c r="A207" s="2">
        <v>202</v>
      </c>
      <c r="B207" s="2" t="s">
        <v>363</v>
      </c>
      <c r="C207" s="3" t="s">
        <v>373</v>
      </c>
      <c r="D207" s="2" t="s">
        <v>376</v>
      </c>
      <c r="E207" s="3" t="s">
        <v>377</v>
      </c>
      <c r="F207" s="2" t="s">
        <v>4</v>
      </c>
      <c r="G207" s="2"/>
      <c r="H207" s="3"/>
      <c r="I207" s="2"/>
    </row>
    <row r="208" spans="1:9" ht="25.5" x14ac:dyDescent="0.25">
      <c r="A208" s="2">
        <v>203</v>
      </c>
      <c r="B208" s="2" t="s">
        <v>363</v>
      </c>
      <c r="C208" s="3" t="s">
        <v>373</v>
      </c>
      <c r="D208" s="2" t="s">
        <v>378</v>
      </c>
      <c r="E208" s="3" t="s">
        <v>379</v>
      </c>
      <c r="F208" s="2" t="s">
        <v>4</v>
      </c>
      <c r="G208" s="2"/>
      <c r="H208" s="3"/>
      <c r="I208" s="2"/>
    </row>
    <row r="209" spans="1:9" ht="38.25" x14ac:dyDescent="0.25">
      <c r="A209" s="2">
        <v>204</v>
      </c>
      <c r="B209" s="2" t="s">
        <v>363</v>
      </c>
      <c r="C209" s="3" t="s">
        <v>380</v>
      </c>
      <c r="D209" s="2"/>
      <c r="E209" s="3" t="s">
        <v>381</v>
      </c>
      <c r="F209" s="2" t="s">
        <v>4</v>
      </c>
      <c r="G209" s="2"/>
      <c r="H209" s="3"/>
      <c r="I209" s="2"/>
    </row>
    <row r="210" spans="1:9" ht="38.25" x14ac:dyDescent="0.25">
      <c r="A210" s="2">
        <v>205</v>
      </c>
      <c r="B210" s="2" t="s">
        <v>363</v>
      </c>
      <c r="C210" s="3" t="s">
        <v>380</v>
      </c>
      <c r="D210" s="2" t="s">
        <v>382</v>
      </c>
      <c r="E210" s="3" t="s">
        <v>383</v>
      </c>
      <c r="F210" s="2" t="s">
        <v>4</v>
      </c>
      <c r="G210" s="2"/>
      <c r="H210" s="3"/>
      <c r="I210" s="2"/>
    </row>
    <row r="211" spans="1:9" ht="38.25" x14ac:dyDescent="0.25">
      <c r="A211" s="2">
        <v>206</v>
      </c>
      <c r="B211" s="2" t="s">
        <v>363</v>
      </c>
      <c r="C211" s="3" t="s">
        <v>384</v>
      </c>
      <c r="D211" s="2" t="s">
        <v>385</v>
      </c>
      <c r="E211" s="3" t="s">
        <v>386</v>
      </c>
      <c r="F211" s="2" t="s">
        <v>4</v>
      </c>
      <c r="G211" s="2"/>
      <c r="H211" s="3"/>
      <c r="I211" s="2"/>
    </row>
    <row r="212" spans="1:9" ht="38.25" x14ac:dyDescent="0.25">
      <c r="A212" s="2">
        <v>207</v>
      </c>
      <c r="B212" s="2" t="s">
        <v>363</v>
      </c>
      <c r="C212" s="3" t="s">
        <v>384</v>
      </c>
      <c r="D212" s="2" t="s">
        <v>387</v>
      </c>
      <c r="E212" s="3" t="s">
        <v>388</v>
      </c>
      <c r="F212" s="2" t="s">
        <v>4</v>
      </c>
      <c r="G212" s="2"/>
      <c r="H212" s="3"/>
      <c r="I212" s="2"/>
    </row>
    <row r="213" spans="1:9" ht="25.5" x14ac:dyDescent="0.25">
      <c r="A213" s="2">
        <v>208</v>
      </c>
      <c r="B213" s="2" t="s">
        <v>363</v>
      </c>
      <c r="C213" s="3" t="s">
        <v>389</v>
      </c>
      <c r="D213" s="2"/>
      <c r="E213" s="3" t="s">
        <v>390</v>
      </c>
      <c r="F213" s="2" t="s">
        <v>62</v>
      </c>
      <c r="G213" s="2"/>
      <c r="H213" s="3"/>
      <c r="I213" s="2"/>
    </row>
    <row r="214" spans="1:9" ht="25.5" x14ac:dyDescent="0.25">
      <c r="A214" s="2">
        <v>209</v>
      </c>
      <c r="B214" s="2" t="s">
        <v>363</v>
      </c>
      <c r="C214" s="3" t="s">
        <v>389</v>
      </c>
      <c r="D214" s="2"/>
      <c r="E214" s="3" t="s">
        <v>391</v>
      </c>
      <c r="F214" s="2" t="s">
        <v>62</v>
      </c>
      <c r="G214" s="2"/>
      <c r="H214" s="3"/>
      <c r="I214" s="2"/>
    </row>
    <row r="215" spans="1:9" ht="25.5" x14ac:dyDescent="0.25">
      <c r="A215" s="2">
        <v>210</v>
      </c>
      <c r="B215" s="2" t="s">
        <v>363</v>
      </c>
      <c r="C215" s="3" t="s">
        <v>389</v>
      </c>
      <c r="D215" s="2"/>
      <c r="E215" s="3" t="s">
        <v>392</v>
      </c>
      <c r="F215" s="2" t="s">
        <v>62</v>
      </c>
      <c r="G215" s="2"/>
      <c r="H215" s="3"/>
      <c r="I215" s="2"/>
    </row>
    <row r="216" spans="1:9" ht="25.5" x14ac:dyDescent="0.25">
      <c r="A216" s="2">
        <v>211</v>
      </c>
      <c r="B216" s="2" t="s">
        <v>363</v>
      </c>
      <c r="C216" s="3" t="s">
        <v>389</v>
      </c>
      <c r="D216" s="2"/>
      <c r="E216" s="3" t="s">
        <v>393</v>
      </c>
      <c r="F216" s="2" t="s">
        <v>62</v>
      </c>
      <c r="G216" s="2"/>
      <c r="H216" s="3"/>
      <c r="I216" s="2"/>
    </row>
    <row r="217" spans="1:9" ht="25.5" x14ac:dyDescent="0.25">
      <c r="A217" s="2">
        <v>212</v>
      </c>
      <c r="B217" s="2" t="s">
        <v>363</v>
      </c>
      <c r="C217" s="3" t="s">
        <v>389</v>
      </c>
      <c r="D217" s="2"/>
      <c r="E217" s="3" t="s">
        <v>394</v>
      </c>
      <c r="F217" s="2" t="s">
        <v>62</v>
      </c>
      <c r="G217" s="2"/>
      <c r="H217" s="3"/>
      <c r="I217" s="2"/>
    </row>
    <row r="218" spans="1:9" ht="25.5" x14ac:dyDescent="0.25">
      <c r="A218" s="2">
        <v>213</v>
      </c>
      <c r="B218" s="2" t="s">
        <v>395</v>
      </c>
      <c r="C218" s="3" t="s">
        <v>12</v>
      </c>
      <c r="D218" s="2"/>
      <c r="E218" s="3" t="s">
        <v>396</v>
      </c>
      <c r="F218" s="2" t="s">
        <v>12</v>
      </c>
      <c r="G218" s="2"/>
      <c r="H218" s="3"/>
      <c r="I218" s="2"/>
    </row>
    <row r="219" spans="1:9" ht="25.5" x14ac:dyDescent="0.25">
      <c r="A219" s="2">
        <v>214</v>
      </c>
      <c r="B219" s="2" t="s">
        <v>395</v>
      </c>
      <c r="C219" s="3" t="s">
        <v>12</v>
      </c>
      <c r="D219" s="2" t="s">
        <v>291</v>
      </c>
      <c r="E219" s="3" t="s">
        <v>397</v>
      </c>
      <c r="F219" s="2" t="s">
        <v>12</v>
      </c>
      <c r="G219" s="2"/>
      <c r="H219" s="3"/>
      <c r="I219" s="2"/>
    </row>
    <row r="220" spans="1:9" ht="38.25" x14ac:dyDescent="0.25">
      <c r="A220" s="2">
        <v>215</v>
      </c>
      <c r="B220" s="2" t="s">
        <v>395</v>
      </c>
      <c r="C220" s="3" t="s">
        <v>12</v>
      </c>
      <c r="D220" s="2"/>
      <c r="E220" s="3" t="s">
        <v>398</v>
      </c>
      <c r="F220" s="2" t="s">
        <v>12</v>
      </c>
      <c r="G220" s="2"/>
      <c r="H220" s="3"/>
      <c r="I220" s="2"/>
    </row>
    <row r="221" spans="1:9" ht="38.25" x14ac:dyDescent="0.25">
      <c r="A221" s="2">
        <v>216</v>
      </c>
      <c r="B221" s="2" t="s">
        <v>395</v>
      </c>
      <c r="C221" s="3" t="s">
        <v>399</v>
      </c>
      <c r="D221" s="2" t="s">
        <v>400</v>
      </c>
      <c r="E221" s="3" t="s">
        <v>401</v>
      </c>
      <c r="F221" s="2" t="s">
        <v>4</v>
      </c>
      <c r="G221" s="2"/>
      <c r="H221" s="3"/>
      <c r="I221" s="2"/>
    </row>
    <row r="222" spans="1:9" x14ac:dyDescent="0.25">
      <c r="A222" s="2">
        <v>217</v>
      </c>
      <c r="B222" s="2" t="s">
        <v>395</v>
      </c>
      <c r="C222" s="3" t="s">
        <v>399</v>
      </c>
      <c r="D222" s="2"/>
      <c r="E222" s="3" t="s">
        <v>402</v>
      </c>
      <c r="F222" s="2" t="s">
        <v>4</v>
      </c>
      <c r="G222" s="2"/>
      <c r="H222" s="3"/>
      <c r="I222" s="2"/>
    </row>
    <row r="223" spans="1:9" x14ac:dyDescent="0.25">
      <c r="A223" s="2">
        <v>218</v>
      </c>
      <c r="B223" s="2" t="s">
        <v>395</v>
      </c>
      <c r="C223" s="3" t="s">
        <v>399</v>
      </c>
      <c r="D223" s="2" t="s">
        <v>403</v>
      </c>
      <c r="E223" s="3" t="s">
        <v>404</v>
      </c>
      <c r="F223" s="2" t="s">
        <v>4</v>
      </c>
      <c r="G223" s="2"/>
      <c r="H223" s="3"/>
      <c r="I223" s="2"/>
    </row>
    <row r="224" spans="1:9" ht="25.5" x14ac:dyDescent="0.25">
      <c r="A224" s="2">
        <v>219</v>
      </c>
      <c r="B224" s="2" t="s">
        <v>395</v>
      </c>
      <c r="C224" s="3" t="s">
        <v>399</v>
      </c>
      <c r="D224" s="2"/>
      <c r="E224" s="3" t="s">
        <v>405</v>
      </c>
      <c r="F224" s="2" t="s">
        <v>4</v>
      </c>
      <c r="G224" s="2"/>
      <c r="H224" s="3"/>
      <c r="I224" s="2"/>
    </row>
    <row r="225" spans="1:9" ht="25.5" x14ac:dyDescent="0.25">
      <c r="A225" s="2">
        <v>220</v>
      </c>
      <c r="B225" s="2" t="s">
        <v>395</v>
      </c>
      <c r="C225" s="3" t="s">
        <v>399</v>
      </c>
      <c r="D225" s="2"/>
      <c r="E225" s="3" t="s">
        <v>406</v>
      </c>
      <c r="F225" s="2" t="s">
        <v>4</v>
      </c>
      <c r="G225" s="2"/>
      <c r="H225" s="3"/>
      <c r="I225" s="2"/>
    </row>
    <row r="226" spans="1:9" ht="38.25" x14ac:dyDescent="0.25">
      <c r="A226" s="2">
        <v>221</v>
      </c>
      <c r="B226" s="2" t="s">
        <v>395</v>
      </c>
      <c r="C226" s="3" t="s">
        <v>407</v>
      </c>
      <c r="D226" s="2" t="s">
        <v>408</v>
      </c>
      <c r="E226" s="3" t="s">
        <v>409</v>
      </c>
      <c r="F226" s="2" t="s">
        <v>4</v>
      </c>
      <c r="G226" s="2"/>
      <c r="H226" s="3"/>
      <c r="I226" s="2"/>
    </row>
    <row r="227" spans="1:9" ht="25.5" x14ac:dyDescent="0.25">
      <c r="A227" s="2">
        <v>222</v>
      </c>
      <c r="B227" s="2" t="s">
        <v>395</v>
      </c>
      <c r="C227" s="3" t="s">
        <v>407</v>
      </c>
      <c r="D227" s="2" t="s">
        <v>410</v>
      </c>
      <c r="E227" s="3" t="s">
        <v>411</v>
      </c>
      <c r="F227" s="2" t="s">
        <v>4</v>
      </c>
      <c r="G227" s="2"/>
      <c r="H227" s="3"/>
      <c r="I227" s="2"/>
    </row>
    <row r="228" spans="1:9" ht="25.5" x14ac:dyDescent="0.25">
      <c r="A228" s="2">
        <v>223</v>
      </c>
      <c r="B228" s="2" t="s">
        <v>395</v>
      </c>
      <c r="C228" s="3" t="s">
        <v>407</v>
      </c>
      <c r="D228" s="2" t="s">
        <v>412</v>
      </c>
      <c r="E228" s="3" t="s">
        <v>413</v>
      </c>
      <c r="F228" s="2" t="s">
        <v>4</v>
      </c>
      <c r="G228" s="2"/>
      <c r="H228" s="3"/>
      <c r="I228" s="2"/>
    </row>
    <row r="229" spans="1:9" ht="25.5" x14ac:dyDescent="0.25">
      <c r="A229" s="2">
        <v>224</v>
      </c>
      <c r="B229" s="2" t="s">
        <v>395</v>
      </c>
      <c r="C229" s="3" t="s">
        <v>407</v>
      </c>
      <c r="D229" s="2" t="s">
        <v>414</v>
      </c>
      <c r="E229" s="3" t="s">
        <v>415</v>
      </c>
      <c r="F229" s="2" t="s">
        <v>4</v>
      </c>
      <c r="G229" s="2"/>
      <c r="H229" s="3"/>
      <c r="I229" s="2"/>
    </row>
    <row r="230" spans="1:9" ht="51" x14ac:dyDescent="0.25">
      <c r="A230" s="2">
        <v>225</v>
      </c>
      <c r="B230" s="2" t="s">
        <v>395</v>
      </c>
      <c r="C230" s="3" t="s">
        <v>416</v>
      </c>
      <c r="D230" s="2" t="s">
        <v>417</v>
      </c>
      <c r="E230" s="3" t="s">
        <v>418</v>
      </c>
      <c r="F230" s="2" t="s">
        <v>4</v>
      </c>
      <c r="G230" s="2"/>
      <c r="H230" s="3"/>
      <c r="I230" s="2"/>
    </row>
    <row r="231" spans="1:9" ht="38.25" x14ac:dyDescent="0.25">
      <c r="A231" s="2">
        <v>226</v>
      </c>
      <c r="B231" s="2" t="s">
        <v>395</v>
      </c>
      <c r="C231" s="3" t="s">
        <v>416</v>
      </c>
      <c r="D231" s="2" t="s">
        <v>419</v>
      </c>
      <c r="E231" s="3" t="s">
        <v>420</v>
      </c>
      <c r="F231" s="2" t="s">
        <v>4</v>
      </c>
      <c r="G231" s="2"/>
      <c r="H231" s="3"/>
      <c r="I231" s="2"/>
    </row>
    <row r="232" spans="1:9" ht="38.25" x14ac:dyDescent="0.25">
      <c r="A232" s="2">
        <v>227</v>
      </c>
      <c r="B232" s="2" t="s">
        <v>395</v>
      </c>
      <c r="C232" s="3" t="s">
        <v>416</v>
      </c>
      <c r="D232" s="2" t="s">
        <v>421</v>
      </c>
      <c r="E232" s="3" t="s">
        <v>422</v>
      </c>
      <c r="F232" s="2" t="s">
        <v>4</v>
      </c>
      <c r="G232" s="2"/>
      <c r="H232" s="3"/>
      <c r="I232" s="2"/>
    </row>
    <row r="233" spans="1:9" ht="38.25" x14ac:dyDescent="0.25">
      <c r="A233" s="2">
        <v>228</v>
      </c>
      <c r="B233" s="2" t="s">
        <v>395</v>
      </c>
      <c r="C233" s="3" t="s">
        <v>416</v>
      </c>
      <c r="D233" s="2" t="s">
        <v>423</v>
      </c>
      <c r="E233" s="3" t="s">
        <v>424</v>
      </c>
      <c r="F233" s="2" t="s">
        <v>4</v>
      </c>
      <c r="G233" s="2"/>
      <c r="H233" s="3"/>
      <c r="I233" s="2"/>
    </row>
    <row r="234" spans="1:9" ht="38.25" x14ac:dyDescent="0.25">
      <c r="A234" s="2">
        <v>229</v>
      </c>
      <c r="B234" s="2" t="s">
        <v>395</v>
      </c>
      <c r="C234" s="3" t="s">
        <v>416</v>
      </c>
      <c r="D234" s="2" t="s">
        <v>425</v>
      </c>
      <c r="E234" s="3" t="s">
        <v>426</v>
      </c>
      <c r="F234" s="2" t="s">
        <v>4</v>
      </c>
      <c r="G234" s="2"/>
      <c r="H234" s="3"/>
      <c r="I234" s="2"/>
    </row>
    <row r="235" spans="1:9" ht="38.25" x14ac:dyDescent="0.25">
      <c r="A235" s="2">
        <v>230</v>
      </c>
      <c r="B235" s="2" t="s">
        <v>395</v>
      </c>
      <c r="C235" s="3" t="s">
        <v>427</v>
      </c>
      <c r="D235" s="2" t="s">
        <v>428</v>
      </c>
      <c r="E235" s="3" t="s">
        <v>429</v>
      </c>
      <c r="F235" s="2" t="s">
        <v>4</v>
      </c>
      <c r="G235" s="2"/>
      <c r="H235" s="3"/>
      <c r="I235" s="2"/>
    </row>
    <row r="236" spans="1:9" ht="25.5" x14ac:dyDescent="0.25">
      <c r="A236" s="2">
        <v>231</v>
      </c>
      <c r="B236" s="2" t="s">
        <v>395</v>
      </c>
      <c r="C236" s="3" t="s">
        <v>427</v>
      </c>
      <c r="D236" s="2"/>
      <c r="E236" s="3" t="s">
        <v>430</v>
      </c>
      <c r="F236" s="2" t="s">
        <v>4</v>
      </c>
      <c r="G236" s="2"/>
      <c r="H236" s="3"/>
      <c r="I236" s="2"/>
    </row>
    <row r="237" spans="1:9" ht="38.25" x14ac:dyDescent="0.25">
      <c r="A237" s="2">
        <v>232</v>
      </c>
      <c r="B237" s="2" t="s">
        <v>395</v>
      </c>
      <c r="C237" s="3" t="s">
        <v>389</v>
      </c>
      <c r="D237" s="2"/>
      <c r="E237" s="3" t="s">
        <v>431</v>
      </c>
      <c r="F237" s="2" t="s">
        <v>62</v>
      </c>
      <c r="G237" s="2"/>
      <c r="H237" s="3"/>
      <c r="I237" s="2"/>
    </row>
    <row r="238" spans="1:9" ht="25.5" x14ac:dyDescent="0.25">
      <c r="A238" s="2">
        <v>233</v>
      </c>
      <c r="B238" s="2" t="s">
        <v>395</v>
      </c>
      <c r="C238" s="3" t="s">
        <v>389</v>
      </c>
      <c r="D238" s="2"/>
      <c r="E238" s="3" t="s">
        <v>432</v>
      </c>
      <c r="F238" s="2" t="s">
        <v>62</v>
      </c>
      <c r="G238" s="2"/>
      <c r="H238" s="3"/>
      <c r="I238" s="2"/>
    </row>
    <row r="239" spans="1:9" ht="25.5" x14ac:dyDescent="0.25">
      <c r="A239" s="2">
        <v>234</v>
      </c>
      <c r="B239" s="2" t="s">
        <v>395</v>
      </c>
      <c r="C239" s="3" t="s">
        <v>389</v>
      </c>
      <c r="D239" s="2"/>
      <c r="E239" s="3" t="s">
        <v>433</v>
      </c>
      <c r="F239" s="2" t="s">
        <v>62</v>
      </c>
      <c r="G239" s="2"/>
      <c r="H239" s="3"/>
      <c r="I239" s="2"/>
    </row>
    <row r="240" spans="1:9" ht="25.5" x14ac:dyDescent="0.25">
      <c r="A240" s="2">
        <v>235</v>
      </c>
      <c r="B240" s="2" t="s">
        <v>395</v>
      </c>
      <c r="C240" s="3" t="s">
        <v>389</v>
      </c>
      <c r="D240" s="2"/>
      <c r="E240" s="3" t="s">
        <v>434</v>
      </c>
      <c r="F240" s="2" t="s">
        <v>62</v>
      </c>
      <c r="G240" s="2"/>
      <c r="H240" s="3"/>
      <c r="I240" s="2"/>
    </row>
    <row r="241" spans="1:9" ht="25.5" x14ac:dyDescent="0.25">
      <c r="A241" s="2">
        <v>236</v>
      </c>
      <c r="B241" s="2" t="s">
        <v>395</v>
      </c>
      <c r="C241" s="3" t="s">
        <v>389</v>
      </c>
      <c r="D241" s="2"/>
      <c r="E241" s="3" t="s">
        <v>435</v>
      </c>
      <c r="F241" s="2" t="s">
        <v>62</v>
      </c>
      <c r="G241" s="2"/>
      <c r="H241" s="3"/>
      <c r="I241" s="2"/>
    </row>
    <row r="242" spans="1:9" ht="38.25" x14ac:dyDescent="0.25">
      <c r="A242" s="2">
        <v>237</v>
      </c>
      <c r="B242" s="2" t="s">
        <v>436</v>
      </c>
      <c r="C242" s="3" t="s">
        <v>12</v>
      </c>
      <c r="D242" s="2"/>
      <c r="E242" s="3" t="s">
        <v>437</v>
      </c>
      <c r="F242" s="2" t="s">
        <v>12</v>
      </c>
      <c r="G242" s="2"/>
      <c r="H242" s="3"/>
      <c r="I242" s="2"/>
    </row>
    <row r="243" spans="1:9" ht="38.25" x14ac:dyDescent="0.25">
      <c r="A243" s="2">
        <v>238</v>
      </c>
      <c r="B243" s="2" t="s">
        <v>436</v>
      </c>
      <c r="C243" s="3" t="s">
        <v>12</v>
      </c>
      <c r="D243" s="2" t="s">
        <v>291</v>
      </c>
      <c r="E243" s="3" t="s">
        <v>438</v>
      </c>
      <c r="F243" s="2" t="s">
        <v>12</v>
      </c>
      <c r="G243" s="2"/>
      <c r="H243" s="3"/>
      <c r="I243" s="2"/>
    </row>
    <row r="244" spans="1:9" ht="25.5" x14ac:dyDescent="0.25">
      <c r="A244" s="2">
        <v>239</v>
      </c>
      <c r="B244" s="2" t="s">
        <v>436</v>
      </c>
      <c r="C244" s="3" t="s">
        <v>12</v>
      </c>
      <c r="D244" s="2"/>
      <c r="E244" s="3" t="s">
        <v>439</v>
      </c>
      <c r="F244" s="2" t="s">
        <v>12</v>
      </c>
      <c r="G244" s="2"/>
      <c r="H244" s="3"/>
      <c r="I244" s="2"/>
    </row>
    <row r="245" spans="1:9" ht="38.25" x14ac:dyDescent="0.25">
      <c r="A245" s="2">
        <v>240</v>
      </c>
      <c r="B245" s="2" t="s">
        <v>436</v>
      </c>
      <c r="C245" s="3" t="s">
        <v>440</v>
      </c>
      <c r="D245" s="2"/>
      <c r="E245" s="3" t="s">
        <v>441</v>
      </c>
      <c r="F245" s="2" t="s">
        <v>4</v>
      </c>
      <c r="G245" s="2"/>
      <c r="H245" s="3"/>
      <c r="I245" s="2"/>
    </row>
    <row r="246" spans="1:9" ht="25.5" x14ac:dyDescent="0.25">
      <c r="A246" s="2">
        <v>241</v>
      </c>
      <c r="B246" s="2" t="s">
        <v>436</v>
      </c>
      <c r="C246" s="3" t="s">
        <v>440</v>
      </c>
      <c r="D246" s="2"/>
      <c r="E246" s="3" t="s">
        <v>442</v>
      </c>
      <c r="F246" s="2" t="s">
        <v>4</v>
      </c>
      <c r="G246" s="2"/>
      <c r="H246" s="3"/>
      <c r="I246" s="2"/>
    </row>
    <row r="247" spans="1:9" ht="25.5" x14ac:dyDescent="0.25">
      <c r="A247" s="2">
        <v>242</v>
      </c>
      <c r="B247" s="2" t="s">
        <v>436</v>
      </c>
      <c r="C247" s="3" t="s">
        <v>440</v>
      </c>
      <c r="D247" s="2"/>
      <c r="E247" s="3" t="s">
        <v>443</v>
      </c>
      <c r="F247" s="2" t="s">
        <v>4</v>
      </c>
      <c r="G247" s="2"/>
      <c r="H247" s="3"/>
      <c r="I247" s="2"/>
    </row>
    <row r="248" spans="1:9" ht="25.5" x14ac:dyDescent="0.25">
      <c r="A248" s="2">
        <v>243</v>
      </c>
      <c r="B248" s="2" t="s">
        <v>436</v>
      </c>
      <c r="C248" s="3" t="s">
        <v>440</v>
      </c>
      <c r="D248" s="2"/>
      <c r="E248" s="3" t="s">
        <v>444</v>
      </c>
      <c r="F248" s="2" t="s">
        <v>4</v>
      </c>
      <c r="G248" s="2"/>
      <c r="H248" s="3"/>
      <c r="I248" s="2"/>
    </row>
    <row r="249" spans="1:9" ht="25.5" x14ac:dyDescent="0.25">
      <c r="A249" s="2">
        <v>244</v>
      </c>
      <c r="B249" s="2" t="s">
        <v>436</v>
      </c>
      <c r="C249" s="3" t="s">
        <v>440</v>
      </c>
      <c r="D249" s="2"/>
      <c r="E249" s="3" t="s">
        <v>445</v>
      </c>
      <c r="F249" s="2" t="s">
        <v>4</v>
      </c>
      <c r="G249" s="2"/>
      <c r="H249" s="3"/>
      <c r="I249" s="2"/>
    </row>
    <row r="250" spans="1:9" ht="51" x14ac:dyDescent="0.25">
      <c r="A250" s="2">
        <v>245</v>
      </c>
      <c r="B250" s="2" t="s">
        <v>436</v>
      </c>
      <c r="C250" s="3" t="s">
        <v>446</v>
      </c>
      <c r="D250" s="2" t="s">
        <v>447</v>
      </c>
      <c r="E250" s="3" t="s">
        <v>448</v>
      </c>
      <c r="F250" s="2" t="s">
        <v>4</v>
      </c>
      <c r="G250" s="2"/>
      <c r="H250" s="3"/>
      <c r="I250" s="2"/>
    </row>
    <row r="251" spans="1:9" ht="63.75" x14ac:dyDescent="0.25">
      <c r="A251" s="2">
        <v>246</v>
      </c>
      <c r="B251" s="2" t="s">
        <v>436</v>
      </c>
      <c r="C251" s="3" t="s">
        <v>446</v>
      </c>
      <c r="D251" s="2" t="s">
        <v>449</v>
      </c>
      <c r="E251" s="3" t="s">
        <v>450</v>
      </c>
      <c r="F251" s="2" t="s">
        <v>4</v>
      </c>
      <c r="G251" s="2"/>
      <c r="H251" s="3"/>
      <c r="I251" s="2"/>
    </row>
    <row r="252" spans="1:9" ht="25.5" x14ac:dyDescent="0.25">
      <c r="A252" s="2">
        <v>247</v>
      </c>
      <c r="B252" s="2" t="s">
        <v>436</v>
      </c>
      <c r="C252" s="3" t="s">
        <v>446</v>
      </c>
      <c r="D252" s="2"/>
      <c r="E252" s="3" t="s">
        <v>451</v>
      </c>
      <c r="F252" s="2" t="s">
        <v>4</v>
      </c>
      <c r="G252" s="2"/>
      <c r="H252" s="3"/>
      <c r="I252" s="2"/>
    </row>
    <row r="253" spans="1:9" ht="63.75" x14ac:dyDescent="0.25">
      <c r="A253" s="2">
        <v>248</v>
      </c>
      <c r="B253" s="2" t="s">
        <v>436</v>
      </c>
      <c r="C253" s="3" t="s">
        <v>452</v>
      </c>
      <c r="D253" s="2" t="s">
        <v>453</v>
      </c>
      <c r="E253" s="3" t="s">
        <v>454</v>
      </c>
      <c r="F253" s="2" t="s">
        <v>4</v>
      </c>
      <c r="G253" s="2"/>
      <c r="H253" s="3"/>
      <c r="I253" s="2"/>
    </row>
    <row r="254" spans="1:9" ht="38.25" x14ac:dyDescent="0.25">
      <c r="A254" s="2">
        <v>249</v>
      </c>
      <c r="B254" s="2" t="s">
        <v>436</v>
      </c>
      <c r="C254" s="3" t="s">
        <v>452</v>
      </c>
      <c r="D254" s="2" t="s">
        <v>455</v>
      </c>
      <c r="E254" s="3" t="s">
        <v>456</v>
      </c>
      <c r="F254" s="2" t="s">
        <v>4</v>
      </c>
      <c r="G254" s="2"/>
      <c r="H254" s="3"/>
      <c r="I254" s="2"/>
    </row>
    <row r="255" spans="1:9" ht="38.25" x14ac:dyDescent="0.25">
      <c r="A255" s="2">
        <v>250</v>
      </c>
      <c r="B255" s="2" t="s">
        <v>436</v>
      </c>
      <c r="C255" s="3" t="s">
        <v>452</v>
      </c>
      <c r="D255" s="2"/>
      <c r="E255" s="3" t="s">
        <v>457</v>
      </c>
      <c r="F255" s="2" t="s">
        <v>4</v>
      </c>
      <c r="G255" s="2"/>
      <c r="H255" s="3"/>
      <c r="I255" s="2"/>
    </row>
    <row r="256" spans="1:9" ht="51" x14ac:dyDescent="0.25">
      <c r="A256" s="2">
        <v>251</v>
      </c>
      <c r="B256" s="2" t="s">
        <v>436</v>
      </c>
      <c r="C256" s="3" t="s">
        <v>458</v>
      </c>
      <c r="D256" s="2" t="s">
        <v>459</v>
      </c>
      <c r="E256" s="3" t="s">
        <v>460</v>
      </c>
      <c r="F256" s="2" t="s">
        <v>4</v>
      </c>
      <c r="G256" s="2"/>
      <c r="H256" s="3"/>
      <c r="I256" s="2"/>
    </row>
    <row r="257" spans="1:9" ht="63.75" x14ac:dyDescent="0.25">
      <c r="A257" s="2">
        <v>252</v>
      </c>
      <c r="B257" s="2" t="s">
        <v>436</v>
      </c>
      <c r="C257" s="3" t="s">
        <v>458</v>
      </c>
      <c r="D257" s="2" t="s">
        <v>461</v>
      </c>
      <c r="E257" s="3" t="s">
        <v>462</v>
      </c>
      <c r="F257" s="2" t="s">
        <v>4</v>
      </c>
      <c r="G257" s="2"/>
      <c r="H257" s="3"/>
      <c r="I257" s="2"/>
    </row>
    <row r="258" spans="1:9" ht="63.75" x14ac:dyDescent="0.25">
      <c r="A258" s="2">
        <v>253</v>
      </c>
      <c r="B258" s="2" t="s">
        <v>436</v>
      </c>
      <c r="C258" s="3" t="s">
        <v>463</v>
      </c>
      <c r="D258" s="2" t="s">
        <v>464</v>
      </c>
      <c r="E258" s="3" t="s">
        <v>465</v>
      </c>
      <c r="F258" s="2" t="s">
        <v>4</v>
      </c>
      <c r="G258" s="2"/>
      <c r="H258" s="3"/>
      <c r="I258" s="2"/>
    </row>
    <row r="259" spans="1:9" ht="25.5" x14ac:dyDescent="0.25">
      <c r="A259" s="2">
        <v>254</v>
      </c>
      <c r="B259" s="2" t="s">
        <v>436</v>
      </c>
      <c r="C259" s="3" t="s">
        <v>463</v>
      </c>
      <c r="D259" s="2" t="s">
        <v>466</v>
      </c>
      <c r="E259" s="3" t="s">
        <v>467</v>
      </c>
      <c r="F259" s="2" t="s">
        <v>4</v>
      </c>
      <c r="G259" s="2"/>
      <c r="H259" s="3"/>
      <c r="I259" s="2"/>
    </row>
    <row r="260" spans="1:9" ht="25.5" x14ac:dyDescent="0.25">
      <c r="A260" s="2">
        <v>255</v>
      </c>
      <c r="B260" s="2" t="s">
        <v>436</v>
      </c>
      <c r="C260" s="3" t="s">
        <v>389</v>
      </c>
      <c r="D260" s="2"/>
      <c r="E260" s="3" t="s">
        <v>468</v>
      </c>
      <c r="F260" s="2" t="s">
        <v>62</v>
      </c>
      <c r="G260" s="2"/>
      <c r="H260" s="3"/>
      <c r="I260" s="2"/>
    </row>
    <row r="261" spans="1:9" ht="25.5" x14ac:dyDescent="0.25">
      <c r="A261" s="2">
        <v>256</v>
      </c>
      <c r="B261" s="2" t="s">
        <v>436</v>
      </c>
      <c r="C261" s="3" t="s">
        <v>389</v>
      </c>
      <c r="D261" s="2"/>
      <c r="E261" s="3" t="s">
        <v>469</v>
      </c>
      <c r="F261" s="2" t="s">
        <v>62</v>
      </c>
      <c r="G261" s="2"/>
      <c r="H261" s="3"/>
      <c r="I261" s="2"/>
    </row>
    <row r="262" spans="1:9" ht="38.25" x14ac:dyDescent="0.25">
      <c r="A262" s="2">
        <v>257</v>
      </c>
      <c r="B262" s="2" t="s">
        <v>436</v>
      </c>
      <c r="C262" s="3" t="s">
        <v>389</v>
      </c>
      <c r="D262" s="2"/>
      <c r="E262" s="3" t="s">
        <v>470</v>
      </c>
      <c r="F262" s="2" t="s">
        <v>62</v>
      </c>
      <c r="G262" s="2"/>
      <c r="H262" s="3"/>
      <c r="I262" s="2"/>
    </row>
    <row r="263" spans="1:9" ht="25.5" x14ac:dyDescent="0.25">
      <c r="A263" s="2">
        <v>258</v>
      </c>
      <c r="B263" s="2" t="s">
        <v>436</v>
      </c>
      <c r="C263" s="3" t="s">
        <v>389</v>
      </c>
      <c r="D263" s="2"/>
      <c r="E263" s="3" t="s">
        <v>471</v>
      </c>
      <c r="F263" s="2" t="s">
        <v>62</v>
      </c>
      <c r="G263" s="2"/>
      <c r="H263" s="3"/>
      <c r="I263" s="2"/>
    </row>
    <row r="264" spans="1:9" ht="25.5" x14ac:dyDescent="0.25">
      <c r="A264" s="2">
        <v>259</v>
      </c>
      <c r="B264" s="2" t="s">
        <v>436</v>
      </c>
      <c r="C264" s="3" t="s">
        <v>389</v>
      </c>
      <c r="D264" s="2"/>
      <c r="E264" s="3" t="s">
        <v>472</v>
      </c>
      <c r="F264" s="2" t="s">
        <v>62</v>
      </c>
      <c r="G264" s="2"/>
      <c r="H264" s="3"/>
      <c r="I264" s="2"/>
    </row>
    <row r="265" spans="1:9" ht="38.25" x14ac:dyDescent="0.25">
      <c r="A265" s="2">
        <v>260</v>
      </c>
      <c r="B265" s="2" t="s">
        <v>436</v>
      </c>
      <c r="C265" s="3" t="s">
        <v>389</v>
      </c>
      <c r="D265" s="2"/>
      <c r="E265" s="3" t="s">
        <v>473</v>
      </c>
      <c r="F265" s="2" t="s">
        <v>62</v>
      </c>
      <c r="G265" s="2"/>
      <c r="H265" s="3"/>
      <c r="I265" s="2"/>
    </row>
    <row r="266" spans="1:9" ht="25.5" x14ac:dyDescent="0.25">
      <c r="A266" s="2">
        <v>261</v>
      </c>
      <c r="B266" s="2" t="s">
        <v>474</v>
      </c>
      <c r="C266" s="3" t="s">
        <v>12</v>
      </c>
      <c r="D266" s="2"/>
      <c r="E266" s="3" t="s">
        <v>475</v>
      </c>
      <c r="F266" s="2" t="s">
        <v>12</v>
      </c>
      <c r="G266" s="2"/>
      <c r="H266" s="3"/>
      <c r="I266" s="2"/>
    </row>
    <row r="267" spans="1:9" ht="38.25" x14ac:dyDescent="0.25">
      <c r="A267" s="2">
        <v>262</v>
      </c>
      <c r="B267" s="2" t="s">
        <v>474</v>
      </c>
      <c r="C267" s="3" t="s">
        <v>12</v>
      </c>
      <c r="D267" s="2" t="s">
        <v>291</v>
      </c>
      <c r="E267" s="3" t="s">
        <v>476</v>
      </c>
      <c r="F267" s="2" t="s">
        <v>12</v>
      </c>
      <c r="G267" s="2"/>
      <c r="H267" s="3"/>
      <c r="I267" s="2"/>
    </row>
    <row r="268" spans="1:9" ht="25.5" x14ac:dyDescent="0.25">
      <c r="A268" s="2">
        <v>263</v>
      </c>
      <c r="B268" s="2" t="s">
        <v>474</v>
      </c>
      <c r="C268" s="3" t="s">
        <v>12</v>
      </c>
      <c r="D268" s="2"/>
      <c r="E268" s="3" t="s">
        <v>477</v>
      </c>
      <c r="F268" s="2" t="s">
        <v>12</v>
      </c>
      <c r="G268" s="2"/>
      <c r="H268" s="3"/>
      <c r="I268" s="2"/>
    </row>
    <row r="269" spans="1:9" ht="63.75" x14ac:dyDescent="0.25">
      <c r="A269" s="2">
        <v>264</v>
      </c>
      <c r="B269" s="2" t="s">
        <v>474</v>
      </c>
      <c r="C269" s="3" t="s">
        <v>478</v>
      </c>
      <c r="D269" s="2" t="s">
        <v>479</v>
      </c>
      <c r="E269" s="3" t="s">
        <v>480</v>
      </c>
      <c r="F269" s="2" t="s">
        <v>4</v>
      </c>
      <c r="G269" s="2"/>
      <c r="H269" s="3"/>
      <c r="I269" s="2"/>
    </row>
    <row r="270" spans="1:9" ht="76.5" x14ac:dyDescent="0.25">
      <c r="A270" s="2">
        <v>265</v>
      </c>
      <c r="B270" s="2" t="s">
        <v>474</v>
      </c>
      <c r="C270" s="3" t="s">
        <v>478</v>
      </c>
      <c r="D270" s="2" t="s">
        <v>481</v>
      </c>
      <c r="E270" s="3" t="s">
        <v>482</v>
      </c>
      <c r="F270" s="2" t="s">
        <v>4</v>
      </c>
      <c r="G270" s="2"/>
      <c r="H270" s="3"/>
      <c r="I270" s="2"/>
    </row>
    <row r="271" spans="1:9" ht="51" x14ac:dyDescent="0.25">
      <c r="A271" s="2">
        <v>266</v>
      </c>
      <c r="B271" s="2" t="s">
        <v>474</v>
      </c>
      <c r="C271" s="3" t="s">
        <v>483</v>
      </c>
      <c r="D271" s="2" t="s">
        <v>484</v>
      </c>
      <c r="E271" s="3" t="s">
        <v>485</v>
      </c>
      <c r="F271" s="2" t="s">
        <v>4</v>
      </c>
      <c r="G271" s="2"/>
      <c r="H271" s="3"/>
      <c r="I271" s="2"/>
    </row>
    <row r="272" spans="1:9" ht="38.25" x14ac:dyDescent="0.25">
      <c r="A272" s="2">
        <v>267</v>
      </c>
      <c r="B272" s="2" t="s">
        <v>474</v>
      </c>
      <c r="C272" s="3" t="s">
        <v>483</v>
      </c>
      <c r="D272" s="2" t="s">
        <v>486</v>
      </c>
      <c r="E272" s="3" t="s">
        <v>487</v>
      </c>
      <c r="F272" s="2" t="s">
        <v>4</v>
      </c>
      <c r="G272" s="2"/>
      <c r="H272" s="3"/>
      <c r="I272" s="2"/>
    </row>
    <row r="273" spans="1:9" ht="51" x14ac:dyDescent="0.25">
      <c r="A273" s="2">
        <v>268</v>
      </c>
      <c r="B273" s="2" t="s">
        <v>474</v>
      </c>
      <c r="C273" s="3" t="s">
        <v>488</v>
      </c>
      <c r="D273" s="2" t="s">
        <v>489</v>
      </c>
      <c r="E273" s="3" t="s">
        <v>490</v>
      </c>
      <c r="F273" s="2" t="s">
        <v>4</v>
      </c>
      <c r="G273" s="2"/>
      <c r="H273" s="3"/>
      <c r="I273" s="2"/>
    </row>
    <row r="274" spans="1:9" ht="76.5" x14ac:dyDescent="0.25">
      <c r="A274" s="2">
        <v>269</v>
      </c>
      <c r="B274" s="2" t="s">
        <v>474</v>
      </c>
      <c r="C274" s="3" t="s">
        <v>488</v>
      </c>
      <c r="D274" s="2" t="s">
        <v>491</v>
      </c>
      <c r="E274" s="3" t="s">
        <v>492</v>
      </c>
      <c r="F274" s="2" t="s">
        <v>4</v>
      </c>
      <c r="G274" s="2"/>
      <c r="H274" s="3"/>
      <c r="I274" s="2"/>
    </row>
    <row r="275" spans="1:9" ht="102" x14ac:dyDescent="0.25">
      <c r="A275" s="2">
        <v>270</v>
      </c>
      <c r="B275" s="2" t="s">
        <v>474</v>
      </c>
      <c r="C275" s="3" t="s">
        <v>493</v>
      </c>
      <c r="D275" s="2" t="s">
        <v>494</v>
      </c>
      <c r="E275" s="3" t="s">
        <v>495</v>
      </c>
      <c r="F275" s="2" t="s">
        <v>4</v>
      </c>
      <c r="G275" s="2"/>
      <c r="H275" s="3"/>
      <c r="I275" s="2"/>
    </row>
    <row r="276" spans="1:9" ht="38.25" x14ac:dyDescent="0.25">
      <c r="A276" s="2">
        <v>271</v>
      </c>
      <c r="B276" s="2" t="s">
        <v>474</v>
      </c>
      <c r="C276" s="3" t="s">
        <v>493</v>
      </c>
      <c r="D276" s="2" t="s">
        <v>496</v>
      </c>
      <c r="E276" s="3" t="s">
        <v>497</v>
      </c>
      <c r="F276" s="2" t="s">
        <v>4</v>
      </c>
      <c r="G276" s="2"/>
      <c r="H276" s="3"/>
      <c r="I276" s="2"/>
    </row>
    <row r="277" spans="1:9" ht="51" x14ac:dyDescent="0.25">
      <c r="A277" s="2">
        <v>272</v>
      </c>
      <c r="B277" s="2" t="s">
        <v>474</v>
      </c>
      <c r="C277" s="3" t="s">
        <v>493</v>
      </c>
      <c r="D277" s="2" t="s">
        <v>498</v>
      </c>
      <c r="E277" s="3" t="s">
        <v>499</v>
      </c>
      <c r="F277" s="2" t="s">
        <v>4</v>
      </c>
      <c r="G277" s="2"/>
      <c r="H277" s="3"/>
      <c r="I277" s="2"/>
    </row>
    <row r="278" spans="1:9" ht="76.5" x14ac:dyDescent="0.25">
      <c r="A278" s="2">
        <v>273</v>
      </c>
      <c r="B278" s="2" t="s">
        <v>474</v>
      </c>
      <c r="C278" s="3" t="s">
        <v>500</v>
      </c>
      <c r="D278" s="2"/>
      <c r="E278" s="3" t="s">
        <v>501</v>
      </c>
      <c r="F278" s="2" t="s">
        <v>4</v>
      </c>
      <c r="G278" s="2"/>
      <c r="H278" s="3"/>
      <c r="I278" s="2"/>
    </row>
    <row r="279" spans="1:9" ht="25.5" x14ac:dyDescent="0.25">
      <c r="A279" s="2">
        <v>274</v>
      </c>
      <c r="B279" s="2" t="s">
        <v>474</v>
      </c>
      <c r="C279" s="3" t="s">
        <v>389</v>
      </c>
      <c r="D279" s="2"/>
      <c r="E279" s="3" t="s">
        <v>502</v>
      </c>
      <c r="F279" s="2" t="s">
        <v>62</v>
      </c>
      <c r="G279" s="2"/>
      <c r="H279" s="3"/>
      <c r="I279" s="2"/>
    </row>
    <row r="280" spans="1:9" ht="25.5" x14ac:dyDescent="0.25">
      <c r="A280" s="2">
        <v>275</v>
      </c>
      <c r="B280" s="2" t="s">
        <v>474</v>
      </c>
      <c r="C280" s="3" t="s">
        <v>389</v>
      </c>
      <c r="D280" s="2"/>
      <c r="E280" s="3" t="s">
        <v>503</v>
      </c>
      <c r="F280" s="2" t="s">
        <v>62</v>
      </c>
      <c r="G280" s="2"/>
      <c r="H280" s="3"/>
      <c r="I280" s="2"/>
    </row>
    <row r="281" spans="1:9" ht="25.5" x14ac:dyDescent="0.25">
      <c r="A281" s="2">
        <v>276</v>
      </c>
      <c r="B281" s="2" t="s">
        <v>474</v>
      </c>
      <c r="C281" s="3" t="s">
        <v>389</v>
      </c>
      <c r="D281" s="2"/>
      <c r="E281" s="3" t="s">
        <v>504</v>
      </c>
      <c r="F281" s="2" t="s">
        <v>62</v>
      </c>
      <c r="G281" s="2"/>
      <c r="H281" s="3"/>
      <c r="I281" s="2"/>
    </row>
    <row r="282" spans="1:9" ht="25.5" x14ac:dyDescent="0.25">
      <c r="A282" s="2">
        <v>277</v>
      </c>
      <c r="B282" s="2" t="s">
        <v>474</v>
      </c>
      <c r="C282" s="3" t="s">
        <v>389</v>
      </c>
      <c r="D282" s="2"/>
      <c r="E282" s="3" t="s">
        <v>505</v>
      </c>
      <c r="F282" s="2" t="s">
        <v>62</v>
      </c>
      <c r="G282" s="2"/>
      <c r="H282" s="3"/>
      <c r="I282" s="2"/>
    </row>
    <row r="283" spans="1:9" ht="25.5" x14ac:dyDescent="0.25">
      <c r="A283" s="2">
        <v>278</v>
      </c>
      <c r="B283" s="2" t="s">
        <v>474</v>
      </c>
      <c r="C283" s="3" t="s">
        <v>389</v>
      </c>
      <c r="D283" s="2"/>
      <c r="E283" s="3" t="s">
        <v>506</v>
      </c>
      <c r="F283" s="2" t="s">
        <v>62</v>
      </c>
      <c r="G283" s="2"/>
      <c r="H283" s="3"/>
      <c r="I283" s="2"/>
    </row>
    <row r="284" spans="1:9" ht="25.5" x14ac:dyDescent="0.25">
      <c r="A284" s="2">
        <v>279</v>
      </c>
      <c r="B284" s="2" t="s">
        <v>474</v>
      </c>
      <c r="C284" s="3" t="s">
        <v>389</v>
      </c>
      <c r="D284" s="2"/>
      <c r="E284" s="3" t="s">
        <v>507</v>
      </c>
      <c r="F284" s="2" t="s">
        <v>62</v>
      </c>
      <c r="G284" s="2"/>
      <c r="H284" s="3"/>
      <c r="I284" s="2"/>
    </row>
    <row r="285" spans="1:9" ht="25.5" x14ac:dyDescent="0.25">
      <c r="A285" s="2">
        <v>280</v>
      </c>
      <c r="B285" s="2" t="s">
        <v>474</v>
      </c>
      <c r="C285" s="3" t="s">
        <v>389</v>
      </c>
      <c r="D285" s="2"/>
      <c r="E285" s="3" t="s">
        <v>508</v>
      </c>
      <c r="F285" s="2" t="s">
        <v>62</v>
      </c>
      <c r="G285" s="2"/>
      <c r="H285" s="3"/>
      <c r="I285" s="2"/>
    </row>
    <row r="286" spans="1:9" ht="25.5" x14ac:dyDescent="0.25">
      <c r="A286" s="2">
        <v>281</v>
      </c>
      <c r="B286" s="2" t="s">
        <v>509</v>
      </c>
      <c r="C286" s="3" t="s">
        <v>12</v>
      </c>
      <c r="D286" s="2"/>
      <c r="E286" s="3" t="s">
        <v>510</v>
      </c>
      <c r="F286" s="2" t="s">
        <v>12</v>
      </c>
      <c r="G286" s="2"/>
      <c r="H286" s="3"/>
      <c r="I286" s="2"/>
    </row>
    <row r="287" spans="1:9" ht="38.25" x14ac:dyDescent="0.25">
      <c r="A287" s="2">
        <v>282</v>
      </c>
      <c r="B287" s="2" t="s">
        <v>509</v>
      </c>
      <c r="C287" s="3" t="s">
        <v>12</v>
      </c>
      <c r="D287" s="2" t="s">
        <v>291</v>
      </c>
      <c r="E287" s="3" t="s">
        <v>511</v>
      </c>
      <c r="F287" s="2" t="s">
        <v>12</v>
      </c>
      <c r="G287" s="2"/>
      <c r="H287" s="3"/>
      <c r="I287" s="2"/>
    </row>
    <row r="288" spans="1:9" ht="25.5" x14ac:dyDescent="0.25">
      <c r="A288" s="2">
        <v>283</v>
      </c>
      <c r="B288" s="2" t="s">
        <v>509</v>
      </c>
      <c r="C288" s="3" t="s">
        <v>12</v>
      </c>
      <c r="D288" s="2"/>
      <c r="E288" s="3" t="s">
        <v>512</v>
      </c>
      <c r="F288" s="2" t="s">
        <v>12</v>
      </c>
      <c r="G288" s="2"/>
      <c r="H288" s="3"/>
      <c r="I288" s="2"/>
    </row>
    <row r="289" spans="1:9" ht="51" x14ac:dyDescent="0.25">
      <c r="A289" s="2">
        <v>284</v>
      </c>
      <c r="B289" s="2" t="s">
        <v>509</v>
      </c>
      <c r="C289" s="3" t="s">
        <v>513</v>
      </c>
      <c r="D289" s="2" t="s">
        <v>514</v>
      </c>
      <c r="E289" s="3" t="s">
        <v>515</v>
      </c>
      <c r="F289" s="2" t="s">
        <v>4</v>
      </c>
      <c r="G289" s="2"/>
      <c r="H289" s="3"/>
      <c r="I289" s="2"/>
    </row>
    <row r="290" spans="1:9" ht="51" x14ac:dyDescent="0.25">
      <c r="A290" s="2">
        <v>285</v>
      </c>
      <c r="B290" s="2" t="s">
        <v>509</v>
      </c>
      <c r="C290" s="3" t="s">
        <v>513</v>
      </c>
      <c r="D290" s="2" t="s">
        <v>516</v>
      </c>
      <c r="E290" s="3" t="s">
        <v>517</v>
      </c>
      <c r="F290" s="2" t="s">
        <v>4</v>
      </c>
      <c r="G290" s="2"/>
      <c r="H290" s="3"/>
      <c r="I290" s="2"/>
    </row>
    <row r="291" spans="1:9" ht="51" x14ac:dyDescent="0.25">
      <c r="A291" s="2">
        <v>286</v>
      </c>
      <c r="B291" s="2" t="s">
        <v>509</v>
      </c>
      <c r="C291" s="3" t="s">
        <v>513</v>
      </c>
      <c r="D291" s="2" t="s">
        <v>518</v>
      </c>
      <c r="E291" s="3" t="s">
        <v>519</v>
      </c>
      <c r="F291" s="2" t="s">
        <v>4</v>
      </c>
      <c r="G291" s="2"/>
      <c r="H291" s="3"/>
      <c r="I291" s="2"/>
    </row>
    <row r="292" spans="1:9" ht="51" x14ac:dyDescent="0.25">
      <c r="A292" s="2">
        <v>287</v>
      </c>
      <c r="B292" s="2" t="s">
        <v>509</v>
      </c>
      <c r="C292" s="3" t="s">
        <v>520</v>
      </c>
      <c r="D292" s="2"/>
      <c r="E292" s="3" t="s">
        <v>521</v>
      </c>
      <c r="F292" s="2" t="s">
        <v>4</v>
      </c>
      <c r="G292" s="2"/>
      <c r="H292" s="3"/>
      <c r="I292" s="2"/>
    </row>
    <row r="293" spans="1:9" ht="25.5" x14ac:dyDescent="0.25">
      <c r="A293" s="2">
        <v>288</v>
      </c>
      <c r="B293" s="2" t="s">
        <v>509</v>
      </c>
      <c r="C293" s="3" t="s">
        <v>520</v>
      </c>
      <c r="D293" s="2"/>
      <c r="E293" s="3" t="s">
        <v>522</v>
      </c>
      <c r="F293" s="2" t="s">
        <v>4</v>
      </c>
      <c r="G293" s="2"/>
      <c r="H293" s="3"/>
      <c r="I293" s="2"/>
    </row>
    <row r="294" spans="1:9" ht="63.75" x14ac:dyDescent="0.25">
      <c r="A294" s="2">
        <v>289</v>
      </c>
      <c r="B294" s="2" t="s">
        <v>509</v>
      </c>
      <c r="C294" s="3" t="s">
        <v>523</v>
      </c>
      <c r="D294" s="2" t="s">
        <v>524</v>
      </c>
      <c r="E294" s="3" t="s">
        <v>525</v>
      </c>
      <c r="F294" s="2" t="s">
        <v>4</v>
      </c>
      <c r="G294" s="2"/>
      <c r="H294" s="3"/>
      <c r="I294" s="2"/>
    </row>
    <row r="295" spans="1:9" ht="25.5" x14ac:dyDescent="0.25">
      <c r="A295" s="2">
        <v>290</v>
      </c>
      <c r="B295" s="2" t="s">
        <v>509</v>
      </c>
      <c r="C295" s="3" t="s">
        <v>523</v>
      </c>
      <c r="D295" s="2" t="s">
        <v>526</v>
      </c>
      <c r="E295" s="3" t="s">
        <v>527</v>
      </c>
      <c r="F295" s="2" t="s">
        <v>4</v>
      </c>
      <c r="G295" s="2"/>
      <c r="H295" s="3"/>
      <c r="I295" s="2"/>
    </row>
    <row r="296" spans="1:9" ht="38.25" x14ac:dyDescent="0.25">
      <c r="A296" s="2">
        <v>291</v>
      </c>
      <c r="B296" s="2" t="s">
        <v>509</v>
      </c>
      <c r="C296" s="3" t="s">
        <v>528</v>
      </c>
      <c r="D296" s="2"/>
      <c r="E296" s="3" t="s">
        <v>529</v>
      </c>
      <c r="F296" s="2" t="s">
        <v>4</v>
      </c>
      <c r="G296" s="2"/>
      <c r="H296" s="3"/>
      <c r="I296" s="2"/>
    </row>
    <row r="297" spans="1:9" ht="25.5" x14ac:dyDescent="0.25">
      <c r="A297" s="2">
        <v>292</v>
      </c>
      <c r="B297" s="2" t="s">
        <v>509</v>
      </c>
      <c r="C297" s="3" t="s">
        <v>528</v>
      </c>
      <c r="D297" s="2"/>
      <c r="E297" s="3" t="s">
        <v>530</v>
      </c>
      <c r="F297" s="2" t="s">
        <v>4</v>
      </c>
      <c r="G297" s="2"/>
      <c r="H297" s="3"/>
      <c r="I297" s="2"/>
    </row>
    <row r="298" spans="1:9" ht="25.5" x14ac:dyDescent="0.25">
      <c r="A298" s="2">
        <v>293</v>
      </c>
      <c r="B298" s="2" t="s">
        <v>509</v>
      </c>
      <c r="C298" s="3" t="s">
        <v>528</v>
      </c>
      <c r="D298" s="2"/>
      <c r="E298" s="3" t="s">
        <v>531</v>
      </c>
      <c r="F298" s="2" t="s">
        <v>4</v>
      </c>
      <c r="G298" s="2"/>
      <c r="H298" s="3"/>
      <c r="I298" s="2"/>
    </row>
    <row r="299" spans="1:9" ht="51" x14ac:dyDescent="0.25">
      <c r="A299" s="2">
        <v>294</v>
      </c>
      <c r="B299" s="2" t="s">
        <v>509</v>
      </c>
      <c r="C299" s="3" t="s">
        <v>532</v>
      </c>
      <c r="D299" s="2" t="s">
        <v>533</v>
      </c>
      <c r="E299" s="3" t="s">
        <v>534</v>
      </c>
      <c r="F299" s="2" t="s">
        <v>4</v>
      </c>
      <c r="G299" s="2"/>
      <c r="H299" s="3"/>
      <c r="I299" s="2"/>
    </row>
    <row r="300" spans="1:9" ht="51" x14ac:dyDescent="0.25">
      <c r="A300" s="2">
        <v>295</v>
      </c>
      <c r="B300" s="2" t="s">
        <v>509</v>
      </c>
      <c r="C300" s="3" t="s">
        <v>532</v>
      </c>
      <c r="D300" s="2" t="s">
        <v>535</v>
      </c>
      <c r="E300" s="3" t="s">
        <v>536</v>
      </c>
      <c r="F300" s="2" t="s">
        <v>4</v>
      </c>
      <c r="G300" s="2"/>
      <c r="H300" s="3"/>
      <c r="I300" s="2"/>
    </row>
    <row r="301" spans="1:9" ht="25.5" x14ac:dyDescent="0.25">
      <c r="A301" s="2">
        <v>296</v>
      </c>
      <c r="B301" s="2" t="s">
        <v>509</v>
      </c>
      <c r="C301" s="3" t="s">
        <v>537</v>
      </c>
      <c r="D301" s="2"/>
      <c r="E301" s="3" t="s">
        <v>538</v>
      </c>
      <c r="F301" s="2" t="s">
        <v>4</v>
      </c>
      <c r="G301" s="2"/>
      <c r="H301" s="3"/>
      <c r="I301" s="2"/>
    </row>
    <row r="302" spans="1:9" ht="51" x14ac:dyDescent="0.25">
      <c r="A302" s="2">
        <v>297</v>
      </c>
      <c r="B302" s="2" t="s">
        <v>509</v>
      </c>
      <c r="C302" s="3" t="s">
        <v>537</v>
      </c>
      <c r="D302" s="2" t="s">
        <v>539</v>
      </c>
      <c r="E302" s="3" t="s">
        <v>540</v>
      </c>
      <c r="F302" s="2" t="s">
        <v>4</v>
      </c>
      <c r="G302" s="2"/>
      <c r="H302" s="3"/>
      <c r="I302" s="2"/>
    </row>
    <row r="303" spans="1:9" ht="51" x14ac:dyDescent="0.25">
      <c r="A303" s="2">
        <v>298</v>
      </c>
      <c r="B303" s="2" t="s">
        <v>509</v>
      </c>
      <c r="C303" s="3" t="s">
        <v>537</v>
      </c>
      <c r="D303" s="2" t="s">
        <v>541</v>
      </c>
      <c r="E303" s="3" t="s">
        <v>542</v>
      </c>
      <c r="F303" s="2" t="s">
        <v>4</v>
      </c>
      <c r="G303" s="2"/>
      <c r="H303" s="3"/>
      <c r="I303" s="2"/>
    </row>
    <row r="304" spans="1:9" ht="25.5" x14ac:dyDescent="0.25">
      <c r="A304" s="2">
        <v>299</v>
      </c>
      <c r="B304" s="2" t="s">
        <v>509</v>
      </c>
      <c r="C304" s="3" t="s">
        <v>389</v>
      </c>
      <c r="D304" s="2"/>
      <c r="E304" s="3" t="s">
        <v>543</v>
      </c>
      <c r="F304" s="2" t="s">
        <v>62</v>
      </c>
      <c r="G304" s="2"/>
      <c r="H304" s="3"/>
      <c r="I304" s="2"/>
    </row>
    <row r="305" spans="1:9" ht="38.25" x14ac:dyDescent="0.25">
      <c r="A305" s="2">
        <v>300</v>
      </c>
      <c r="B305" s="2" t="s">
        <v>509</v>
      </c>
      <c r="C305" s="3" t="s">
        <v>389</v>
      </c>
      <c r="D305" s="2"/>
      <c r="E305" s="3" t="s">
        <v>544</v>
      </c>
      <c r="F305" s="2" t="s">
        <v>62</v>
      </c>
      <c r="G305" s="2"/>
      <c r="H305" s="3"/>
      <c r="I305" s="2"/>
    </row>
    <row r="306" spans="1:9" ht="25.5" x14ac:dyDescent="0.25">
      <c r="A306" s="2">
        <v>301</v>
      </c>
      <c r="B306" s="2" t="s">
        <v>509</v>
      </c>
      <c r="C306" s="3" t="s">
        <v>389</v>
      </c>
      <c r="D306" s="2"/>
      <c r="E306" s="3" t="s">
        <v>545</v>
      </c>
      <c r="F306" s="2" t="s">
        <v>62</v>
      </c>
      <c r="G306" s="2"/>
      <c r="H306" s="3"/>
      <c r="I306" s="2"/>
    </row>
    <row r="307" spans="1:9" ht="25.5" x14ac:dyDescent="0.25">
      <c r="A307" s="2">
        <v>302</v>
      </c>
      <c r="B307" s="2" t="s">
        <v>509</v>
      </c>
      <c r="C307" s="3" t="s">
        <v>389</v>
      </c>
      <c r="D307" s="2"/>
      <c r="E307" s="3" t="s">
        <v>546</v>
      </c>
      <c r="F307" s="2" t="s">
        <v>62</v>
      </c>
      <c r="G307" s="2"/>
      <c r="H307" s="3"/>
      <c r="I307" s="2"/>
    </row>
    <row r="308" spans="1:9" ht="25.5" x14ac:dyDescent="0.25">
      <c r="A308" s="2">
        <v>303</v>
      </c>
      <c r="B308" s="2" t="s">
        <v>509</v>
      </c>
      <c r="C308" s="3" t="s">
        <v>389</v>
      </c>
      <c r="D308" s="2"/>
      <c r="E308" s="3" t="s">
        <v>547</v>
      </c>
      <c r="F308" s="2" t="s">
        <v>62</v>
      </c>
      <c r="G308" s="2"/>
      <c r="H308" s="3"/>
      <c r="I308" s="2"/>
    </row>
    <row r="309" spans="1:9" ht="25.5" x14ac:dyDescent="0.25">
      <c r="A309" s="2">
        <v>304</v>
      </c>
      <c r="B309" s="2" t="s">
        <v>509</v>
      </c>
      <c r="C309" s="3" t="s">
        <v>389</v>
      </c>
      <c r="D309" s="2"/>
      <c r="E309" s="3" t="s">
        <v>548</v>
      </c>
      <c r="F309" s="2" t="s">
        <v>62</v>
      </c>
      <c r="G309" s="2"/>
      <c r="H309" s="3"/>
      <c r="I309" s="2"/>
    </row>
    <row r="310" spans="1:9" ht="25.5" x14ac:dyDescent="0.25">
      <c r="A310" s="2">
        <v>305</v>
      </c>
      <c r="B310" s="2" t="s">
        <v>549</v>
      </c>
      <c r="C310" s="3" t="s">
        <v>12</v>
      </c>
      <c r="D310" s="2"/>
      <c r="E310" s="3" t="s">
        <v>550</v>
      </c>
      <c r="F310" s="2" t="s">
        <v>12</v>
      </c>
      <c r="G310" s="2"/>
      <c r="H310" s="3"/>
      <c r="I310" s="2"/>
    </row>
    <row r="311" spans="1:9" ht="38.25" x14ac:dyDescent="0.25">
      <c r="A311" s="2">
        <v>306</v>
      </c>
      <c r="B311" s="2" t="s">
        <v>549</v>
      </c>
      <c r="C311" s="3" t="s">
        <v>12</v>
      </c>
      <c r="D311" s="2" t="s">
        <v>291</v>
      </c>
      <c r="E311" s="3" t="s">
        <v>551</v>
      </c>
      <c r="F311" s="2" t="s">
        <v>12</v>
      </c>
      <c r="G311" s="2"/>
      <c r="H311" s="3"/>
      <c r="I311" s="2"/>
    </row>
    <row r="312" spans="1:9" ht="38.25" x14ac:dyDescent="0.25">
      <c r="A312" s="2">
        <v>307</v>
      </c>
      <c r="B312" s="2" t="s">
        <v>549</v>
      </c>
      <c r="C312" s="3" t="s">
        <v>12</v>
      </c>
      <c r="D312" s="2"/>
      <c r="E312" s="3" t="s">
        <v>552</v>
      </c>
      <c r="F312" s="2" t="s">
        <v>12</v>
      </c>
      <c r="G312" s="2"/>
      <c r="H312" s="3"/>
      <c r="I312" s="2"/>
    </row>
    <row r="313" spans="1:9" ht="38.25" x14ac:dyDescent="0.25">
      <c r="A313" s="2">
        <v>308</v>
      </c>
      <c r="B313" s="2" t="s">
        <v>549</v>
      </c>
      <c r="C313" s="3" t="s">
        <v>553</v>
      </c>
      <c r="D313" s="2" t="s">
        <v>554</v>
      </c>
      <c r="E313" s="3" t="s">
        <v>555</v>
      </c>
      <c r="F313" s="2" t="s">
        <v>4</v>
      </c>
      <c r="G313" s="2"/>
      <c r="H313" s="3"/>
      <c r="I313" s="2"/>
    </row>
    <row r="314" spans="1:9" ht="63.75" x14ac:dyDescent="0.25">
      <c r="A314" s="2">
        <v>309</v>
      </c>
      <c r="B314" s="2" t="s">
        <v>549</v>
      </c>
      <c r="C314" s="3" t="s">
        <v>553</v>
      </c>
      <c r="D314" s="2"/>
      <c r="E314" s="3" t="s">
        <v>556</v>
      </c>
      <c r="F314" s="2" t="s">
        <v>4</v>
      </c>
      <c r="G314" s="2"/>
      <c r="H314" s="3"/>
      <c r="I314" s="2"/>
    </row>
    <row r="315" spans="1:9" ht="25.5" x14ac:dyDescent="0.25">
      <c r="A315" s="2">
        <v>310</v>
      </c>
      <c r="B315" s="2" t="s">
        <v>549</v>
      </c>
      <c r="C315" s="3" t="s">
        <v>553</v>
      </c>
      <c r="D315" s="2"/>
      <c r="E315" s="3" t="s">
        <v>557</v>
      </c>
      <c r="F315" s="2" t="s">
        <v>4</v>
      </c>
      <c r="G315" s="2"/>
      <c r="H315" s="3"/>
      <c r="I315" s="2"/>
    </row>
    <row r="316" spans="1:9" ht="51" x14ac:dyDescent="0.25">
      <c r="A316" s="2">
        <v>311</v>
      </c>
      <c r="B316" s="2" t="s">
        <v>549</v>
      </c>
      <c r="C316" s="3" t="s">
        <v>558</v>
      </c>
      <c r="D316" s="2" t="s">
        <v>559</v>
      </c>
      <c r="E316" s="3" t="s">
        <v>560</v>
      </c>
      <c r="F316" s="2" t="s">
        <v>4</v>
      </c>
      <c r="G316" s="2"/>
      <c r="H316" s="3"/>
      <c r="I316" s="2"/>
    </row>
    <row r="317" spans="1:9" ht="38.25" x14ac:dyDescent="0.25">
      <c r="A317" s="2">
        <v>312</v>
      </c>
      <c r="B317" s="2" t="s">
        <v>549</v>
      </c>
      <c r="C317" s="3" t="s">
        <v>558</v>
      </c>
      <c r="D317" s="2" t="s">
        <v>561</v>
      </c>
      <c r="E317" s="3" t="s">
        <v>562</v>
      </c>
      <c r="F317" s="2" t="s">
        <v>4</v>
      </c>
      <c r="G317" s="2"/>
      <c r="H317" s="3"/>
      <c r="I317" s="2"/>
    </row>
    <row r="318" spans="1:9" ht="38.25" x14ac:dyDescent="0.25">
      <c r="A318" s="2">
        <v>313</v>
      </c>
      <c r="B318" s="2" t="s">
        <v>549</v>
      </c>
      <c r="C318" s="3" t="s">
        <v>558</v>
      </c>
      <c r="D318" s="2" t="s">
        <v>563</v>
      </c>
      <c r="E318" s="3" t="s">
        <v>564</v>
      </c>
      <c r="F318" s="2" t="s">
        <v>4</v>
      </c>
      <c r="G318" s="2"/>
      <c r="H318" s="3"/>
      <c r="I318" s="2"/>
    </row>
    <row r="319" spans="1:9" ht="51" x14ac:dyDescent="0.25">
      <c r="A319" s="2">
        <v>314</v>
      </c>
      <c r="B319" s="2" t="s">
        <v>549</v>
      </c>
      <c r="C319" s="3" t="s">
        <v>565</v>
      </c>
      <c r="D319" s="2" t="s">
        <v>566</v>
      </c>
      <c r="E319" s="3" t="s">
        <v>567</v>
      </c>
      <c r="F319" s="2" t="s">
        <v>4</v>
      </c>
      <c r="G319" s="2"/>
      <c r="H319" s="3"/>
      <c r="I319" s="2"/>
    </row>
    <row r="320" spans="1:9" ht="38.25" x14ac:dyDescent="0.25">
      <c r="A320" s="2">
        <v>315</v>
      </c>
      <c r="B320" s="2" t="s">
        <v>549</v>
      </c>
      <c r="C320" s="3" t="s">
        <v>565</v>
      </c>
      <c r="D320" s="2" t="s">
        <v>568</v>
      </c>
      <c r="E320" s="3" t="s">
        <v>569</v>
      </c>
      <c r="F320" s="2" t="s">
        <v>4</v>
      </c>
      <c r="G320" s="2"/>
      <c r="H320" s="3"/>
      <c r="I320" s="2"/>
    </row>
    <row r="321" spans="1:9" ht="25.5" x14ac:dyDescent="0.25">
      <c r="A321" s="2">
        <v>316</v>
      </c>
      <c r="B321" s="2" t="s">
        <v>549</v>
      </c>
      <c r="C321" s="3" t="s">
        <v>565</v>
      </c>
      <c r="D321" s="2"/>
      <c r="E321" s="3" t="s">
        <v>570</v>
      </c>
      <c r="F321" s="2" t="s">
        <v>4</v>
      </c>
      <c r="G321" s="2"/>
      <c r="H321" s="3"/>
      <c r="I321" s="2"/>
    </row>
    <row r="322" spans="1:9" ht="38.25" x14ac:dyDescent="0.25">
      <c r="A322" s="2">
        <v>317</v>
      </c>
      <c r="B322" s="2" t="s">
        <v>549</v>
      </c>
      <c r="C322" s="3" t="s">
        <v>571</v>
      </c>
      <c r="D322" s="2"/>
      <c r="E322" s="3" t="s">
        <v>572</v>
      </c>
      <c r="F322" s="2" t="s">
        <v>4</v>
      </c>
      <c r="G322" s="2"/>
      <c r="H322" s="3"/>
      <c r="I322" s="2"/>
    </row>
    <row r="323" spans="1:9" ht="51" x14ac:dyDescent="0.25">
      <c r="A323" s="2">
        <v>318</v>
      </c>
      <c r="B323" s="2" t="s">
        <v>549</v>
      </c>
      <c r="C323" s="3" t="s">
        <v>571</v>
      </c>
      <c r="D323" s="2"/>
      <c r="E323" s="3" t="s">
        <v>573</v>
      </c>
      <c r="F323" s="2" t="s">
        <v>4</v>
      </c>
      <c r="G323" s="2"/>
      <c r="H323" s="3"/>
      <c r="I323" s="2"/>
    </row>
    <row r="324" spans="1:9" ht="38.25" x14ac:dyDescent="0.25">
      <c r="A324" s="2">
        <v>319</v>
      </c>
      <c r="B324" s="2" t="s">
        <v>549</v>
      </c>
      <c r="C324" s="3" t="s">
        <v>574</v>
      </c>
      <c r="D324" s="2" t="s">
        <v>575</v>
      </c>
      <c r="E324" s="3" t="s">
        <v>576</v>
      </c>
      <c r="F324" s="2" t="s">
        <v>4</v>
      </c>
      <c r="G324" s="2"/>
      <c r="H324" s="3"/>
      <c r="I324" s="2"/>
    </row>
    <row r="325" spans="1:9" ht="38.25" x14ac:dyDescent="0.25">
      <c r="A325" s="2">
        <v>320</v>
      </c>
      <c r="B325" s="2" t="s">
        <v>549</v>
      </c>
      <c r="C325" s="3" t="s">
        <v>574</v>
      </c>
      <c r="D325" s="2"/>
      <c r="E325" s="3" t="s">
        <v>577</v>
      </c>
      <c r="F325" s="2" t="s">
        <v>4</v>
      </c>
      <c r="G325" s="2"/>
      <c r="H325" s="3"/>
      <c r="I325" s="2"/>
    </row>
    <row r="326" spans="1:9" ht="25.5" x14ac:dyDescent="0.25">
      <c r="A326" s="2">
        <v>321</v>
      </c>
      <c r="B326" s="2" t="s">
        <v>549</v>
      </c>
      <c r="C326" s="3" t="s">
        <v>574</v>
      </c>
      <c r="D326" s="2" t="s">
        <v>578</v>
      </c>
      <c r="E326" s="3" t="s">
        <v>579</v>
      </c>
      <c r="F326" s="2" t="s">
        <v>4</v>
      </c>
      <c r="G326" s="2"/>
      <c r="H326" s="3"/>
      <c r="I326" s="2"/>
    </row>
    <row r="327" spans="1:9" ht="38.25" x14ac:dyDescent="0.25">
      <c r="A327" s="2">
        <v>322</v>
      </c>
      <c r="B327" s="2" t="s">
        <v>549</v>
      </c>
      <c r="C327" s="3" t="s">
        <v>574</v>
      </c>
      <c r="D327" s="2"/>
      <c r="E327" s="3" t="s">
        <v>580</v>
      </c>
      <c r="F327" s="2" t="s">
        <v>4</v>
      </c>
      <c r="G327" s="2"/>
      <c r="H327" s="3"/>
      <c r="I327" s="2"/>
    </row>
    <row r="328" spans="1:9" ht="25.5" x14ac:dyDescent="0.25">
      <c r="A328" s="2">
        <v>323</v>
      </c>
      <c r="B328" s="2" t="s">
        <v>549</v>
      </c>
      <c r="C328" s="3" t="s">
        <v>581</v>
      </c>
      <c r="D328" s="2"/>
      <c r="E328" s="3" t="s">
        <v>582</v>
      </c>
      <c r="F328" s="2" t="s">
        <v>4</v>
      </c>
      <c r="G328" s="2"/>
      <c r="H328" s="3"/>
      <c r="I328" s="2"/>
    </row>
    <row r="329" spans="1:9" ht="51" x14ac:dyDescent="0.25">
      <c r="A329" s="2">
        <v>324</v>
      </c>
      <c r="B329" s="2" t="s">
        <v>549</v>
      </c>
      <c r="C329" s="3" t="s">
        <v>581</v>
      </c>
      <c r="D329" s="2"/>
      <c r="E329" s="3" t="s">
        <v>583</v>
      </c>
      <c r="F329" s="2" t="s">
        <v>4</v>
      </c>
      <c r="G329" s="2"/>
      <c r="H329" s="3"/>
      <c r="I329" s="2"/>
    </row>
    <row r="330" spans="1:9" ht="38.25" x14ac:dyDescent="0.25">
      <c r="A330" s="2">
        <v>325</v>
      </c>
      <c r="B330" s="2" t="s">
        <v>549</v>
      </c>
      <c r="C330" s="3" t="s">
        <v>581</v>
      </c>
      <c r="D330" s="2"/>
      <c r="E330" s="3" t="s">
        <v>584</v>
      </c>
      <c r="F330" s="2" t="s">
        <v>4</v>
      </c>
      <c r="G330" s="2"/>
      <c r="H330" s="3"/>
      <c r="I330" s="2"/>
    </row>
    <row r="331" spans="1:9" ht="25.5" x14ac:dyDescent="0.25">
      <c r="A331" s="2">
        <v>326</v>
      </c>
      <c r="B331" s="2" t="s">
        <v>549</v>
      </c>
      <c r="C331" s="3" t="s">
        <v>389</v>
      </c>
      <c r="D331" s="2" t="s">
        <v>585</v>
      </c>
      <c r="E331" s="3" t="s">
        <v>586</v>
      </c>
      <c r="F331" s="2" t="s">
        <v>62</v>
      </c>
      <c r="G331" s="2"/>
      <c r="H331" s="3"/>
      <c r="I331" s="2"/>
    </row>
    <row r="332" spans="1:9" ht="25.5" x14ac:dyDescent="0.25">
      <c r="A332" s="2">
        <v>327</v>
      </c>
      <c r="B332" s="2" t="s">
        <v>549</v>
      </c>
      <c r="C332" s="3" t="s">
        <v>389</v>
      </c>
      <c r="D332" s="2"/>
      <c r="E332" s="3" t="s">
        <v>587</v>
      </c>
      <c r="F332" s="2" t="s">
        <v>62</v>
      </c>
      <c r="G332" s="2"/>
      <c r="H332" s="3"/>
      <c r="I332" s="2"/>
    </row>
    <row r="333" spans="1:9" ht="38.25" x14ac:dyDescent="0.25">
      <c r="A333" s="2">
        <v>328</v>
      </c>
      <c r="B333" s="2" t="s">
        <v>549</v>
      </c>
      <c r="C333" s="3" t="s">
        <v>389</v>
      </c>
      <c r="D333" s="2"/>
      <c r="E333" s="3" t="s">
        <v>588</v>
      </c>
      <c r="F333" s="2" t="s">
        <v>62</v>
      </c>
      <c r="G333" s="2"/>
      <c r="H333" s="3"/>
      <c r="I333" s="2"/>
    </row>
    <row r="334" spans="1:9" ht="25.5" x14ac:dyDescent="0.25">
      <c r="A334" s="2">
        <v>329</v>
      </c>
      <c r="B334" s="2" t="s">
        <v>549</v>
      </c>
      <c r="C334" s="3" t="s">
        <v>389</v>
      </c>
      <c r="D334" s="2"/>
      <c r="E334" s="3" t="s">
        <v>589</v>
      </c>
      <c r="F334" s="2" t="s">
        <v>62</v>
      </c>
      <c r="G334" s="2"/>
      <c r="H334" s="3"/>
      <c r="I334" s="2"/>
    </row>
  </sheetData>
  <autoFilter ref="A1:I334" xr:uid="{00000000-0009-0000-0000-000000000000}"/>
  <conditionalFormatting sqref="G2:G334">
    <cfRule type="cellIs" dxfId="5" priority="1" operator="equal">
      <formula>"Pass"</formula>
    </cfRule>
    <cfRule type="cellIs" dxfId="4" priority="2" operator="equal">
      <formula>"Fail"</formula>
    </cfRule>
    <cfRule type="cellIs" dxfId="3" priority="3" operator="equal">
      <formula>"Partial"</formula>
    </cfRule>
    <cfRule type="cellIs" dxfId="2" priority="4" operator="equal">
      <formula>"Blocked"</formula>
    </cfRule>
    <cfRule type="cellIs" dxfId="1" priority="5" operator="equal">
      <formula>"Skipped"</formula>
    </cfRule>
    <cfRule type="cellIs" dxfId="0" priority="6" operator="equal">
      <formula>"N/A"</formula>
    </cfRule>
  </conditionalFormatting>
  <dataValidations count="1">
    <dataValidation type="list" allowBlank="1" sqref="G2:G334" xr:uid="{00000000-0002-0000-0000-000000000000}">
      <formula1>"Pass,Fail,Partial,Blocked,Skipped,N/A"</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9"/>
  <sheetViews>
    <sheetView workbookViewId="0">
      <pane ySplit="1" topLeftCell="A2" activePane="bottomLeft" state="frozen"/>
      <selection pane="bottomLeft"/>
    </sheetView>
  </sheetViews>
  <sheetFormatPr defaultRowHeight="15" x14ac:dyDescent="0.25"/>
  <cols>
    <col min="1" max="1" width="34" customWidth="1"/>
    <col min="2" max="10" width="10" customWidth="1"/>
  </cols>
  <sheetData>
    <row r="1" spans="1:10" x14ac:dyDescent="0.25">
      <c r="A1" s="4" t="s">
        <v>1</v>
      </c>
      <c r="B1" s="4" t="s">
        <v>590</v>
      </c>
      <c r="C1" s="4" t="s">
        <v>109</v>
      </c>
      <c r="D1" s="4" t="s">
        <v>591</v>
      </c>
      <c r="E1" s="4" t="s">
        <v>592</v>
      </c>
      <c r="F1" s="4" t="s">
        <v>593</v>
      </c>
      <c r="G1" s="4" t="s">
        <v>594</v>
      </c>
      <c r="H1" s="4" t="s">
        <v>595</v>
      </c>
      <c r="I1" s="4" t="s">
        <v>596</v>
      </c>
      <c r="J1" s="4" t="s">
        <v>597</v>
      </c>
    </row>
    <row r="2" spans="1:10" x14ac:dyDescent="0.25">
      <c r="A2" s="5" t="s">
        <v>9</v>
      </c>
      <c r="B2" s="5">
        <f>COUNTIF(Results!$B$2:$B$334,$A2)</f>
        <v>39</v>
      </c>
      <c r="C2" s="5">
        <f>COUNTIFS(Results!$B$2:$B$334,$A2,Results!$G$2:$G$334,"Pass")</f>
        <v>29</v>
      </c>
      <c r="D2" s="5">
        <f>COUNTIFS(Results!$B$2:$B$334,$A2,Results!$G$2:$G$334,"Fail")</f>
        <v>5</v>
      </c>
      <c r="E2" s="5">
        <f>COUNTIFS(Results!$B$2:$B$334,$A2,Results!$G$2:$G$334,"Partial")</f>
        <v>3</v>
      </c>
      <c r="F2" s="5">
        <f>COUNTIFS(Results!$B$2:$B$334,$A2,Results!$G$2:$G$334,"Blocked")</f>
        <v>0</v>
      </c>
      <c r="G2" s="5">
        <f>COUNTIFS(Results!$B$2:$B$334,$A2,Results!$G$2:$G$334,"Skipped")</f>
        <v>0</v>
      </c>
      <c r="H2" s="5">
        <f>COUNTIFS(Results!$B$2:$B$334,$A2,Results!$G$2:$G$334,"N/A")</f>
        <v>0</v>
      </c>
      <c r="I2" s="5">
        <f t="shared" ref="I2:I18" si="0">B2-SUM(C2:H2)</f>
        <v>2</v>
      </c>
      <c r="J2" s="6">
        <f t="shared" ref="J2:J19" si="1">IF(B2=0,0,(B2-I2)/B2)</f>
        <v>0.94871794871794868</v>
      </c>
    </row>
    <row r="3" spans="1:10" x14ac:dyDescent="0.25">
      <c r="A3" s="5" t="s">
        <v>73</v>
      </c>
      <c r="B3" s="5">
        <f>COUNTIF(Results!$B$2:$B$334,$A3)</f>
        <v>23</v>
      </c>
      <c r="C3" s="5">
        <f>COUNTIFS(Results!$B$2:$B$334,$A3,Results!$G$2:$G$334,"Pass")</f>
        <v>2</v>
      </c>
      <c r="D3" s="5">
        <f>COUNTIFS(Results!$B$2:$B$334,$A3,Results!$G$2:$G$334,"Fail")</f>
        <v>0</v>
      </c>
      <c r="E3" s="5">
        <f>COUNTIFS(Results!$B$2:$B$334,$A3,Results!$G$2:$G$334,"Partial")</f>
        <v>0</v>
      </c>
      <c r="F3" s="5">
        <f>COUNTIFS(Results!$B$2:$B$334,$A3,Results!$G$2:$G$334,"Blocked")</f>
        <v>0</v>
      </c>
      <c r="G3" s="5">
        <f>COUNTIFS(Results!$B$2:$B$334,$A3,Results!$G$2:$G$334,"Skipped")</f>
        <v>0</v>
      </c>
      <c r="H3" s="5">
        <f>COUNTIFS(Results!$B$2:$B$334,$A3,Results!$G$2:$G$334,"N/A")</f>
        <v>0</v>
      </c>
      <c r="I3" s="5">
        <f t="shared" si="0"/>
        <v>21</v>
      </c>
      <c r="J3" s="6">
        <f t="shared" si="1"/>
        <v>8.6956521739130432E-2</v>
      </c>
    </row>
    <row r="4" spans="1:10" x14ac:dyDescent="0.25">
      <c r="A4" s="5" t="s">
        <v>113</v>
      </c>
      <c r="B4" s="5">
        <f>COUNTIF(Results!$B$2:$B$334,$A4)</f>
        <v>15</v>
      </c>
      <c r="C4" s="5">
        <f>COUNTIFS(Results!$B$2:$B$334,$A4,Results!$G$2:$G$334,"Pass")</f>
        <v>0</v>
      </c>
      <c r="D4" s="5">
        <f>COUNTIFS(Results!$B$2:$B$334,$A4,Results!$G$2:$G$334,"Fail")</f>
        <v>0</v>
      </c>
      <c r="E4" s="5">
        <f>COUNTIFS(Results!$B$2:$B$334,$A4,Results!$G$2:$G$334,"Partial")</f>
        <v>0</v>
      </c>
      <c r="F4" s="5">
        <f>COUNTIFS(Results!$B$2:$B$334,$A4,Results!$G$2:$G$334,"Blocked")</f>
        <v>0</v>
      </c>
      <c r="G4" s="5">
        <f>COUNTIFS(Results!$B$2:$B$334,$A4,Results!$G$2:$G$334,"Skipped")</f>
        <v>0</v>
      </c>
      <c r="H4" s="5">
        <f>COUNTIFS(Results!$B$2:$B$334,$A4,Results!$G$2:$G$334,"N/A")</f>
        <v>0</v>
      </c>
      <c r="I4" s="5">
        <f t="shared" si="0"/>
        <v>15</v>
      </c>
      <c r="J4" s="6">
        <f t="shared" si="1"/>
        <v>0</v>
      </c>
    </row>
    <row r="5" spans="1:10" x14ac:dyDescent="0.25">
      <c r="A5" s="5" t="s">
        <v>140</v>
      </c>
      <c r="B5" s="5">
        <f>COUNTIF(Results!$B$2:$B$334,$A5)</f>
        <v>14</v>
      </c>
      <c r="C5" s="5">
        <f>COUNTIFS(Results!$B$2:$B$334,$A5,Results!$G$2:$G$334,"Pass")</f>
        <v>0</v>
      </c>
      <c r="D5" s="5">
        <f>COUNTIFS(Results!$B$2:$B$334,$A5,Results!$G$2:$G$334,"Fail")</f>
        <v>0</v>
      </c>
      <c r="E5" s="5">
        <f>COUNTIFS(Results!$B$2:$B$334,$A5,Results!$G$2:$G$334,"Partial")</f>
        <v>0</v>
      </c>
      <c r="F5" s="5">
        <f>COUNTIFS(Results!$B$2:$B$334,$A5,Results!$G$2:$G$334,"Blocked")</f>
        <v>0</v>
      </c>
      <c r="G5" s="5">
        <f>COUNTIFS(Results!$B$2:$B$334,$A5,Results!$G$2:$G$334,"Skipped")</f>
        <v>0</v>
      </c>
      <c r="H5" s="5">
        <f>COUNTIFS(Results!$B$2:$B$334,$A5,Results!$G$2:$G$334,"N/A")</f>
        <v>0</v>
      </c>
      <c r="I5" s="5">
        <f t="shared" si="0"/>
        <v>14</v>
      </c>
      <c r="J5" s="6">
        <f t="shared" si="1"/>
        <v>0</v>
      </c>
    </row>
    <row r="6" spans="1:10" x14ac:dyDescent="0.25">
      <c r="A6" s="5" t="s">
        <v>167</v>
      </c>
      <c r="B6" s="5">
        <f>COUNTIF(Results!$B$2:$B$334,$A6)</f>
        <v>15</v>
      </c>
      <c r="C6" s="5">
        <f>COUNTIFS(Results!$B$2:$B$334,$A6,Results!$G$2:$G$334,"Pass")</f>
        <v>0</v>
      </c>
      <c r="D6" s="5">
        <f>COUNTIFS(Results!$B$2:$B$334,$A6,Results!$G$2:$G$334,"Fail")</f>
        <v>0</v>
      </c>
      <c r="E6" s="5">
        <f>COUNTIFS(Results!$B$2:$B$334,$A6,Results!$G$2:$G$334,"Partial")</f>
        <v>0</v>
      </c>
      <c r="F6" s="5">
        <f>COUNTIFS(Results!$B$2:$B$334,$A6,Results!$G$2:$G$334,"Blocked")</f>
        <v>0</v>
      </c>
      <c r="G6" s="5">
        <f>COUNTIFS(Results!$B$2:$B$334,$A6,Results!$G$2:$G$334,"Skipped")</f>
        <v>0</v>
      </c>
      <c r="H6" s="5">
        <f>COUNTIFS(Results!$B$2:$B$334,$A6,Results!$G$2:$G$334,"N/A")</f>
        <v>0</v>
      </c>
      <c r="I6" s="5">
        <f t="shared" si="0"/>
        <v>15</v>
      </c>
      <c r="J6" s="6">
        <f t="shared" si="1"/>
        <v>0</v>
      </c>
    </row>
    <row r="7" spans="1:10" x14ac:dyDescent="0.25">
      <c r="A7" s="5" t="s">
        <v>196</v>
      </c>
      <c r="B7" s="5">
        <f>COUNTIF(Results!$B$2:$B$334,$A7)</f>
        <v>13</v>
      </c>
      <c r="C7" s="5">
        <f>COUNTIFS(Results!$B$2:$B$334,$A7,Results!$G$2:$G$334,"Pass")</f>
        <v>0</v>
      </c>
      <c r="D7" s="5">
        <f>COUNTIFS(Results!$B$2:$B$334,$A7,Results!$G$2:$G$334,"Fail")</f>
        <v>0</v>
      </c>
      <c r="E7" s="5">
        <f>COUNTIFS(Results!$B$2:$B$334,$A7,Results!$G$2:$G$334,"Partial")</f>
        <v>0</v>
      </c>
      <c r="F7" s="5">
        <f>COUNTIFS(Results!$B$2:$B$334,$A7,Results!$G$2:$G$334,"Blocked")</f>
        <v>0</v>
      </c>
      <c r="G7" s="5">
        <f>COUNTIFS(Results!$B$2:$B$334,$A7,Results!$G$2:$G$334,"Skipped")</f>
        <v>0</v>
      </c>
      <c r="H7" s="5">
        <f>COUNTIFS(Results!$B$2:$B$334,$A7,Results!$G$2:$G$334,"N/A")</f>
        <v>0</v>
      </c>
      <c r="I7" s="5">
        <f t="shared" si="0"/>
        <v>13</v>
      </c>
      <c r="J7" s="6">
        <f t="shared" si="1"/>
        <v>0</v>
      </c>
    </row>
    <row r="8" spans="1:10" x14ac:dyDescent="0.25">
      <c r="A8" s="5" t="s">
        <v>221</v>
      </c>
      <c r="B8" s="5">
        <f>COUNTIF(Results!$B$2:$B$334,$A8)</f>
        <v>11</v>
      </c>
      <c r="C8" s="5">
        <f>COUNTIFS(Results!$B$2:$B$334,$A8,Results!$G$2:$G$334,"Pass")</f>
        <v>0</v>
      </c>
      <c r="D8" s="5">
        <f>COUNTIFS(Results!$B$2:$B$334,$A8,Results!$G$2:$G$334,"Fail")</f>
        <v>0</v>
      </c>
      <c r="E8" s="5">
        <f>COUNTIFS(Results!$B$2:$B$334,$A8,Results!$G$2:$G$334,"Partial")</f>
        <v>0</v>
      </c>
      <c r="F8" s="5">
        <f>COUNTIFS(Results!$B$2:$B$334,$A8,Results!$G$2:$G$334,"Blocked")</f>
        <v>0</v>
      </c>
      <c r="G8" s="5">
        <f>COUNTIFS(Results!$B$2:$B$334,$A8,Results!$G$2:$G$334,"Skipped")</f>
        <v>0</v>
      </c>
      <c r="H8" s="5">
        <f>COUNTIFS(Results!$B$2:$B$334,$A8,Results!$G$2:$G$334,"N/A")</f>
        <v>0</v>
      </c>
      <c r="I8" s="5">
        <f t="shared" si="0"/>
        <v>11</v>
      </c>
      <c r="J8" s="6">
        <f t="shared" si="1"/>
        <v>0</v>
      </c>
    </row>
    <row r="9" spans="1:10" x14ac:dyDescent="0.25">
      <c r="A9" s="5" t="s">
        <v>242</v>
      </c>
      <c r="B9" s="5">
        <f>COUNTIF(Results!$B$2:$B$334,$A9)</f>
        <v>25</v>
      </c>
      <c r="C9" s="5">
        <f>COUNTIFS(Results!$B$2:$B$334,$A9,Results!$G$2:$G$334,"Pass")</f>
        <v>0</v>
      </c>
      <c r="D9" s="5">
        <f>COUNTIFS(Results!$B$2:$B$334,$A9,Results!$G$2:$G$334,"Fail")</f>
        <v>0</v>
      </c>
      <c r="E9" s="5">
        <f>COUNTIFS(Results!$B$2:$B$334,$A9,Results!$G$2:$G$334,"Partial")</f>
        <v>0</v>
      </c>
      <c r="F9" s="5">
        <f>COUNTIFS(Results!$B$2:$B$334,$A9,Results!$G$2:$G$334,"Blocked")</f>
        <v>0</v>
      </c>
      <c r="G9" s="5">
        <f>COUNTIFS(Results!$B$2:$B$334,$A9,Results!$G$2:$G$334,"Skipped")</f>
        <v>0</v>
      </c>
      <c r="H9" s="5">
        <f>COUNTIFS(Results!$B$2:$B$334,$A9,Results!$G$2:$G$334,"N/A")</f>
        <v>0</v>
      </c>
      <c r="I9" s="5">
        <f t="shared" si="0"/>
        <v>25</v>
      </c>
      <c r="J9" s="6">
        <f t="shared" si="1"/>
        <v>0</v>
      </c>
    </row>
    <row r="10" spans="1:10" x14ac:dyDescent="0.25">
      <c r="A10" s="5" t="s">
        <v>289</v>
      </c>
      <c r="B10" s="5">
        <f>COUNTIF(Results!$B$2:$B$334,$A10)</f>
        <v>18</v>
      </c>
      <c r="C10" s="5">
        <f>COUNTIFS(Results!$B$2:$B$334,$A10,Results!$G$2:$G$334,"Pass")</f>
        <v>0</v>
      </c>
      <c r="D10" s="5">
        <f>COUNTIFS(Results!$B$2:$B$334,$A10,Results!$G$2:$G$334,"Fail")</f>
        <v>0</v>
      </c>
      <c r="E10" s="5">
        <f>COUNTIFS(Results!$B$2:$B$334,$A10,Results!$G$2:$G$334,"Partial")</f>
        <v>0</v>
      </c>
      <c r="F10" s="5">
        <f>COUNTIFS(Results!$B$2:$B$334,$A10,Results!$G$2:$G$334,"Blocked")</f>
        <v>0</v>
      </c>
      <c r="G10" s="5">
        <f>COUNTIFS(Results!$B$2:$B$334,$A10,Results!$G$2:$G$334,"Skipped")</f>
        <v>0</v>
      </c>
      <c r="H10" s="5">
        <f>COUNTIFS(Results!$B$2:$B$334,$A10,Results!$G$2:$G$334,"N/A")</f>
        <v>0</v>
      </c>
      <c r="I10" s="5">
        <f t="shared" si="0"/>
        <v>18</v>
      </c>
      <c r="J10" s="6">
        <f t="shared" si="1"/>
        <v>0</v>
      </c>
    </row>
    <row r="11" spans="1:10" x14ac:dyDescent="0.25">
      <c r="A11" s="5" t="s">
        <v>322</v>
      </c>
      <c r="B11" s="5">
        <f>COUNTIF(Results!$B$2:$B$334,$A11)</f>
        <v>12</v>
      </c>
      <c r="C11" s="5">
        <f>COUNTIFS(Results!$B$2:$B$334,$A11,Results!$G$2:$G$334,"Pass")</f>
        <v>0</v>
      </c>
      <c r="D11" s="5">
        <f>COUNTIFS(Results!$B$2:$B$334,$A11,Results!$G$2:$G$334,"Fail")</f>
        <v>0</v>
      </c>
      <c r="E11" s="5">
        <f>COUNTIFS(Results!$B$2:$B$334,$A11,Results!$G$2:$G$334,"Partial")</f>
        <v>0</v>
      </c>
      <c r="F11" s="5">
        <f>COUNTIFS(Results!$B$2:$B$334,$A11,Results!$G$2:$G$334,"Blocked")</f>
        <v>0</v>
      </c>
      <c r="G11" s="5">
        <f>COUNTIFS(Results!$B$2:$B$334,$A11,Results!$G$2:$G$334,"Skipped")</f>
        <v>0</v>
      </c>
      <c r="H11" s="5">
        <f>COUNTIFS(Results!$B$2:$B$334,$A11,Results!$G$2:$G$334,"N/A")</f>
        <v>0</v>
      </c>
      <c r="I11" s="5">
        <f t="shared" si="0"/>
        <v>12</v>
      </c>
      <c r="J11" s="6">
        <f t="shared" si="1"/>
        <v>0</v>
      </c>
    </row>
    <row r="12" spans="1:10" x14ac:dyDescent="0.25">
      <c r="A12" s="5" t="s">
        <v>340</v>
      </c>
      <c r="B12" s="5">
        <f>COUNTIF(Results!$B$2:$B$334,$A12)</f>
        <v>12</v>
      </c>
      <c r="C12" s="5">
        <f>COUNTIFS(Results!$B$2:$B$334,$A12,Results!$G$2:$G$334,"Pass")</f>
        <v>0</v>
      </c>
      <c r="D12" s="5">
        <f>COUNTIFS(Results!$B$2:$B$334,$A12,Results!$G$2:$G$334,"Fail")</f>
        <v>0</v>
      </c>
      <c r="E12" s="5">
        <f>COUNTIFS(Results!$B$2:$B$334,$A12,Results!$G$2:$G$334,"Partial")</f>
        <v>0</v>
      </c>
      <c r="F12" s="5">
        <f>COUNTIFS(Results!$B$2:$B$334,$A12,Results!$G$2:$G$334,"Blocked")</f>
        <v>0</v>
      </c>
      <c r="G12" s="5">
        <f>COUNTIFS(Results!$B$2:$B$334,$A12,Results!$G$2:$G$334,"Skipped")</f>
        <v>0</v>
      </c>
      <c r="H12" s="5">
        <f>COUNTIFS(Results!$B$2:$B$334,$A12,Results!$G$2:$G$334,"N/A")</f>
        <v>0</v>
      </c>
      <c r="I12" s="5">
        <f t="shared" si="0"/>
        <v>12</v>
      </c>
      <c r="J12" s="6">
        <f t="shared" si="1"/>
        <v>0</v>
      </c>
    </row>
    <row r="13" spans="1:10" x14ac:dyDescent="0.25">
      <c r="A13" s="5" t="s">
        <v>363</v>
      </c>
      <c r="B13" s="5">
        <f>COUNTIF(Results!$B$2:$B$334,$A13)</f>
        <v>19</v>
      </c>
      <c r="C13" s="5">
        <f>COUNTIFS(Results!$B$2:$B$334,$A13,Results!$G$2:$G$334,"Pass")</f>
        <v>0</v>
      </c>
      <c r="D13" s="5">
        <f>COUNTIFS(Results!$B$2:$B$334,$A13,Results!$G$2:$G$334,"Fail")</f>
        <v>0</v>
      </c>
      <c r="E13" s="5">
        <f>COUNTIFS(Results!$B$2:$B$334,$A13,Results!$G$2:$G$334,"Partial")</f>
        <v>0</v>
      </c>
      <c r="F13" s="5">
        <f>COUNTIFS(Results!$B$2:$B$334,$A13,Results!$G$2:$G$334,"Blocked")</f>
        <v>0</v>
      </c>
      <c r="G13" s="5">
        <f>COUNTIFS(Results!$B$2:$B$334,$A13,Results!$G$2:$G$334,"Skipped")</f>
        <v>0</v>
      </c>
      <c r="H13" s="5">
        <f>COUNTIFS(Results!$B$2:$B$334,$A13,Results!$G$2:$G$334,"N/A")</f>
        <v>0</v>
      </c>
      <c r="I13" s="5">
        <f t="shared" si="0"/>
        <v>19</v>
      </c>
      <c r="J13" s="6">
        <f t="shared" si="1"/>
        <v>0</v>
      </c>
    </row>
    <row r="14" spans="1:10" x14ac:dyDescent="0.25">
      <c r="A14" s="5" t="s">
        <v>395</v>
      </c>
      <c r="B14" s="5">
        <f>COUNTIF(Results!$B$2:$B$334,$A14)</f>
        <v>24</v>
      </c>
      <c r="C14" s="5">
        <f>COUNTIFS(Results!$B$2:$B$334,$A14,Results!$G$2:$G$334,"Pass")</f>
        <v>0</v>
      </c>
      <c r="D14" s="5">
        <f>COUNTIFS(Results!$B$2:$B$334,$A14,Results!$G$2:$G$334,"Fail")</f>
        <v>0</v>
      </c>
      <c r="E14" s="5">
        <f>COUNTIFS(Results!$B$2:$B$334,$A14,Results!$G$2:$G$334,"Partial")</f>
        <v>0</v>
      </c>
      <c r="F14" s="5">
        <f>COUNTIFS(Results!$B$2:$B$334,$A14,Results!$G$2:$G$334,"Blocked")</f>
        <v>0</v>
      </c>
      <c r="G14" s="5">
        <f>COUNTIFS(Results!$B$2:$B$334,$A14,Results!$G$2:$G$334,"Skipped")</f>
        <v>0</v>
      </c>
      <c r="H14" s="5">
        <f>COUNTIFS(Results!$B$2:$B$334,$A14,Results!$G$2:$G$334,"N/A")</f>
        <v>0</v>
      </c>
      <c r="I14" s="5">
        <f t="shared" si="0"/>
        <v>24</v>
      </c>
      <c r="J14" s="6">
        <f t="shared" si="1"/>
        <v>0</v>
      </c>
    </row>
    <row r="15" spans="1:10" x14ac:dyDescent="0.25">
      <c r="A15" s="5" t="s">
        <v>436</v>
      </c>
      <c r="B15" s="5">
        <f>COUNTIF(Results!$B$2:$B$334,$A15)</f>
        <v>24</v>
      </c>
      <c r="C15" s="5">
        <f>COUNTIFS(Results!$B$2:$B$334,$A15,Results!$G$2:$G$334,"Pass")</f>
        <v>0</v>
      </c>
      <c r="D15" s="5">
        <f>COUNTIFS(Results!$B$2:$B$334,$A15,Results!$G$2:$G$334,"Fail")</f>
        <v>0</v>
      </c>
      <c r="E15" s="5">
        <f>COUNTIFS(Results!$B$2:$B$334,$A15,Results!$G$2:$G$334,"Partial")</f>
        <v>0</v>
      </c>
      <c r="F15" s="5">
        <f>COUNTIFS(Results!$B$2:$B$334,$A15,Results!$G$2:$G$334,"Blocked")</f>
        <v>0</v>
      </c>
      <c r="G15" s="5">
        <f>COUNTIFS(Results!$B$2:$B$334,$A15,Results!$G$2:$G$334,"Skipped")</f>
        <v>0</v>
      </c>
      <c r="H15" s="5">
        <f>COUNTIFS(Results!$B$2:$B$334,$A15,Results!$G$2:$G$334,"N/A")</f>
        <v>0</v>
      </c>
      <c r="I15" s="5">
        <f t="shared" si="0"/>
        <v>24</v>
      </c>
      <c r="J15" s="6">
        <f t="shared" si="1"/>
        <v>0</v>
      </c>
    </row>
    <row r="16" spans="1:10" x14ac:dyDescent="0.25">
      <c r="A16" s="5" t="s">
        <v>474</v>
      </c>
      <c r="B16" s="5">
        <f>COUNTIF(Results!$B$2:$B$334,$A16)</f>
        <v>20</v>
      </c>
      <c r="C16" s="5">
        <f>COUNTIFS(Results!$B$2:$B$334,$A16,Results!$G$2:$G$334,"Pass")</f>
        <v>0</v>
      </c>
      <c r="D16" s="5">
        <f>COUNTIFS(Results!$B$2:$B$334,$A16,Results!$G$2:$G$334,"Fail")</f>
        <v>0</v>
      </c>
      <c r="E16" s="5">
        <f>COUNTIFS(Results!$B$2:$B$334,$A16,Results!$G$2:$G$334,"Partial")</f>
        <v>0</v>
      </c>
      <c r="F16" s="5">
        <f>COUNTIFS(Results!$B$2:$B$334,$A16,Results!$G$2:$G$334,"Blocked")</f>
        <v>0</v>
      </c>
      <c r="G16" s="5">
        <f>COUNTIFS(Results!$B$2:$B$334,$A16,Results!$G$2:$G$334,"Skipped")</f>
        <v>0</v>
      </c>
      <c r="H16" s="5">
        <f>COUNTIFS(Results!$B$2:$B$334,$A16,Results!$G$2:$G$334,"N/A")</f>
        <v>0</v>
      </c>
      <c r="I16" s="5">
        <f t="shared" si="0"/>
        <v>20</v>
      </c>
      <c r="J16" s="6">
        <f t="shared" si="1"/>
        <v>0</v>
      </c>
    </row>
    <row r="17" spans="1:10" x14ac:dyDescent="0.25">
      <c r="A17" s="5" t="s">
        <v>509</v>
      </c>
      <c r="B17" s="5">
        <f>COUNTIF(Results!$B$2:$B$334,$A17)</f>
        <v>24</v>
      </c>
      <c r="C17" s="5">
        <f>COUNTIFS(Results!$B$2:$B$334,$A17,Results!$G$2:$G$334,"Pass")</f>
        <v>0</v>
      </c>
      <c r="D17" s="5">
        <f>COUNTIFS(Results!$B$2:$B$334,$A17,Results!$G$2:$G$334,"Fail")</f>
        <v>0</v>
      </c>
      <c r="E17" s="5">
        <f>COUNTIFS(Results!$B$2:$B$334,$A17,Results!$G$2:$G$334,"Partial")</f>
        <v>0</v>
      </c>
      <c r="F17" s="5">
        <f>COUNTIFS(Results!$B$2:$B$334,$A17,Results!$G$2:$G$334,"Blocked")</f>
        <v>0</v>
      </c>
      <c r="G17" s="5">
        <f>COUNTIFS(Results!$B$2:$B$334,$A17,Results!$G$2:$G$334,"Skipped")</f>
        <v>0</v>
      </c>
      <c r="H17" s="5">
        <f>COUNTIFS(Results!$B$2:$B$334,$A17,Results!$G$2:$G$334,"N/A")</f>
        <v>0</v>
      </c>
      <c r="I17" s="5">
        <f t="shared" si="0"/>
        <v>24</v>
      </c>
      <c r="J17" s="6">
        <f t="shared" si="1"/>
        <v>0</v>
      </c>
    </row>
    <row r="18" spans="1:10" x14ac:dyDescent="0.25">
      <c r="A18" s="5" t="s">
        <v>549</v>
      </c>
      <c r="B18" s="5">
        <f>COUNTIF(Results!$B$2:$B$334,$A18)</f>
        <v>25</v>
      </c>
      <c r="C18" s="5">
        <f>COUNTIFS(Results!$B$2:$B$334,$A18,Results!$G$2:$G$334,"Pass")</f>
        <v>0</v>
      </c>
      <c r="D18" s="5">
        <f>COUNTIFS(Results!$B$2:$B$334,$A18,Results!$G$2:$G$334,"Fail")</f>
        <v>0</v>
      </c>
      <c r="E18" s="5">
        <f>COUNTIFS(Results!$B$2:$B$334,$A18,Results!$G$2:$G$334,"Partial")</f>
        <v>0</v>
      </c>
      <c r="F18" s="5">
        <f>COUNTIFS(Results!$B$2:$B$334,$A18,Results!$G$2:$G$334,"Blocked")</f>
        <v>0</v>
      </c>
      <c r="G18" s="5">
        <f>COUNTIFS(Results!$B$2:$B$334,$A18,Results!$G$2:$G$334,"Skipped")</f>
        <v>0</v>
      </c>
      <c r="H18" s="5">
        <f>COUNTIFS(Results!$B$2:$B$334,$A18,Results!$G$2:$G$334,"N/A")</f>
        <v>0</v>
      </c>
      <c r="I18" s="5">
        <f t="shared" si="0"/>
        <v>25</v>
      </c>
      <c r="J18" s="6">
        <f t="shared" si="1"/>
        <v>0</v>
      </c>
    </row>
    <row r="19" spans="1:10" x14ac:dyDescent="0.25">
      <c r="A19" s="7" t="s">
        <v>598</v>
      </c>
      <c r="B19" s="5">
        <f t="shared" ref="B19:I19" si="2">SUM(B2:B18)</f>
        <v>333</v>
      </c>
      <c r="C19" s="5">
        <f t="shared" si="2"/>
        <v>31</v>
      </c>
      <c r="D19" s="5">
        <f t="shared" si="2"/>
        <v>5</v>
      </c>
      <c r="E19" s="5">
        <f t="shared" si="2"/>
        <v>3</v>
      </c>
      <c r="F19" s="5">
        <f t="shared" si="2"/>
        <v>0</v>
      </c>
      <c r="G19" s="5">
        <f t="shared" si="2"/>
        <v>0</v>
      </c>
      <c r="H19" s="5">
        <f t="shared" si="2"/>
        <v>0</v>
      </c>
      <c r="I19" s="5">
        <f t="shared" si="2"/>
        <v>294</v>
      </c>
      <c r="J19" s="6">
        <f t="shared" si="1"/>
        <v>0.11711711711711711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Results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Hesse</cp:lastModifiedBy>
  <dcterms:created xsi:type="dcterms:W3CDTF">2026-07-05T19:38:13Z</dcterms:created>
  <dcterms:modified xsi:type="dcterms:W3CDTF">2026-07-12T13:45:18Z</dcterms:modified>
</cp:coreProperties>
</file>