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bbdc0a387be64072/Documentos/Worldbuilding/"/>
    </mc:Choice>
  </mc:AlternateContent>
  <xr:revisionPtr revIDLastSave="2" documentId="8_{889DABB5-6A50-894D-9A0F-86CA6633A25F}" xr6:coauthVersionLast="47" xr6:coauthVersionMax="47" xr10:uidLastSave="{F3577E6C-38A7-4BD0-B634-9F954E04F9FF}"/>
  <bookViews>
    <workbookView minimized="1" xWindow="0" yWindow="0" windowWidth="29040" windowHeight="15720" xr2:uid="{00000000-000D-0000-FFFF-FFFF00000000}"/>
  </bookViews>
  <sheets>
    <sheet name="Character Builder" sheetId="1" r:id="rId1"/>
    <sheet name="Reference" sheetId="2" r:id="rId2"/>
    <sheet name="Calc" sheetId="3" r:id="rId3"/>
  </sheets>
  <definedNames>
    <definedName name="_xlnm._FilterDatabase" localSheetId="2" hidden="1">Calc!$A$1:$I$375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1" l="1"/>
  <c r="N3" i="3" s="1"/>
  <c r="C48" i="1"/>
  <c r="N5" i="3" s="1"/>
  <c r="I144" i="3" s="1"/>
  <c r="I369" i="3"/>
  <c r="I368" i="3"/>
  <c r="I361" i="3"/>
  <c r="I360" i="3"/>
  <c r="I353" i="3"/>
  <c r="I352" i="3"/>
  <c r="I351" i="3"/>
  <c r="I344" i="3"/>
  <c r="I336" i="3"/>
  <c r="I329" i="3"/>
  <c r="I328" i="3"/>
  <c r="I327" i="3"/>
  <c r="I326" i="3"/>
  <c r="I319" i="3"/>
  <c r="I312" i="3"/>
  <c r="I311" i="3"/>
  <c r="I304" i="3"/>
  <c r="I302" i="3"/>
  <c r="I295" i="3"/>
  <c r="I279" i="3"/>
  <c r="I278" i="3"/>
  <c r="I277" i="3"/>
  <c r="I269" i="3"/>
  <c r="I262" i="3"/>
  <c r="I261" i="3"/>
  <c r="I254" i="3"/>
  <c r="I252" i="3"/>
  <c r="I245" i="3"/>
  <c r="I244" i="3"/>
  <c r="I237" i="3"/>
  <c r="I228" i="3"/>
  <c r="I227" i="3"/>
  <c r="I119" i="3"/>
  <c r="I111" i="3"/>
  <c r="I103" i="3"/>
  <c r="I102" i="3"/>
  <c r="I94" i="3"/>
  <c r="I86" i="3"/>
  <c r="I78" i="3"/>
  <c r="I77" i="3"/>
  <c r="I69" i="3"/>
  <c r="I61" i="3"/>
  <c r="I53" i="3"/>
  <c r="I52" i="3"/>
  <c r="N50" i="3"/>
  <c r="N49" i="3"/>
  <c r="N48" i="3"/>
  <c r="N47" i="3"/>
  <c r="N46" i="3"/>
  <c r="N45" i="3"/>
  <c r="N44" i="3"/>
  <c r="I44" i="3"/>
  <c r="N43" i="3"/>
  <c r="N42" i="3"/>
  <c r="N41" i="3"/>
  <c r="N40" i="3"/>
  <c r="N39" i="3"/>
  <c r="N38" i="3"/>
  <c r="N37" i="3"/>
  <c r="N36" i="3"/>
  <c r="I36" i="3"/>
  <c r="N35" i="3"/>
  <c r="N34" i="3"/>
  <c r="N33" i="3"/>
  <c r="N32" i="3"/>
  <c r="N31" i="3"/>
  <c r="N30" i="3"/>
  <c r="N29" i="3"/>
  <c r="N28" i="3"/>
  <c r="I28" i="3"/>
  <c r="N27" i="3"/>
  <c r="I27" i="3"/>
  <c r="N26" i="3"/>
  <c r="N25" i="3"/>
  <c r="N24" i="3"/>
  <c r="N23" i="3"/>
  <c r="N22" i="3"/>
  <c r="L22" i="3"/>
  <c r="K22" i="3"/>
  <c r="I187" i="3" s="1"/>
  <c r="N21" i="3"/>
  <c r="L21" i="3"/>
  <c r="K21" i="3"/>
  <c r="N20" i="3"/>
  <c r="L20" i="3"/>
  <c r="K20" i="3"/>
  <c r="N19" i="3"/>
  <c r="L19" i="3"/>
  <c r="I294" i="3"/>
  <c r="I19" i="3"/>
  <c r="N18" i="3"/>
  <c r="L18" i="3"/>
  <c r="N17" i="3"/>
  <c r="L17" i="3"/>
  <c r="I287" i="3"/>
  <c r="N16" i="3"/>
  <c r="L16" i="3"/>
  <c r="I303" i="3"/>
  <c r="N15" i="3"/>
  <c r="L15" i="3"/>
  <c r="I236" i="3"/>
  <c r="N14" i="3"/>
  <c r="L14" i="3"/>
  <c r="I318" i="3"/>
  <c r="N13" i="3"/>
  <c r="L13" i="3"/>
  <c r="I343" i="3"/>
  <c r="N12" i="3"/>
  <c r="L12" i="3"/>
  <c r="N11" i="3"/>
  <c r="L11" i="3"/>
  <c r="I11" i="3"/>
  <c r="N10" i="3"/>
  <c r="L10" i="3"/>
  <c r="I253" i="3"/>
  <c r="N9" i="3"/>
  <c r="L9" i="3"/>
  <c r="I335" i="3"/>
  <c r="N8" i="3"/>
  <c r="L8" i="3"/>
  <c r="N7" i="3"/>
  <c r="L7" i="3"/>
  <c r="N6" i="3"/>
  <c r="L6" i="3"/>
  <c r="I286" i="3"/>
  <c r="L5" i="3"/>
  <c r="N4" i="3"/>
  <c r="L4" i="3"/>
  <c r="L3" i="3"/>
  <c r="I3" i="3"/>
  <c r="N2" i="3"/>
  <c r="L2" i="3"/>
  <c r="I2" i="3"/>
  <c r="S80" i="1"/>
  <c r="R80" i="1"/>
  <c r="Q80" i="1"/>
  <c r="P80" i="1"/>
  <c r="O80" i="1"/>
  <c r="N80" i="1"/>
  <c r="S79" i="1"/>
  <c r="R79" i="1"/>
  <c r="Q79" i="1"/>
  <c r="P79" i="1"/>
  <c r="O79" i="1"/>
  <c r="N79" i="1"/>
  <c r="S78" i="1"/>
  <c r="R78" i="1"/>
  <c r="Q78" i="1"/>
  <c r="P78" i="1"/>
  <c r="O78" i="1"/>
  <c r="N78" i="1"/>
  <c r="S77" i="1"/>
  <c r="R77" i="1"/>
  <c r="Q77" i="1"/>
  <c r="P77" i="1"/>
  <c r="O77" i="1"/>
  <c r="N77" i="1"/>
  <c r="S76" i="1"/>
  <c r="R76" i="1"/>
  <c r="Q76" i="1"/>
  <c r="P76" i="1"/>
  <c r="O76" i="1"/>
  <c r="N76" i="1"/>
  <c r="S75" i="1"/>
  <c r="R75" i="1"/>
  <c r="Q75" i="1"/>
  <c r="P75" i="1"/>
  <c r="O75" i="1"/>
  <c r="N75" i="1"/>
  <c r="J75" i="1"/>
  <c r="E75" i="1"/>
  <c r="S74" i="1"/>
  <c r="R74" i="1"/>
  <c r="Q74" i="1"/>
  <c r="P74" i="1"/>
  <c r="O74" i="1"/>
  <c r="N74" i="1"/>
  <c r="J74" i="1"/>
  <c r="E74" i="1"/>
  <c r="S73" i="1"/>
  <c r="R73" i="1"/>
  <c r="Q73" i="1"/>
  <c r="P73" i="1"/>
  <c r="O73" i="1"/>
  <c r="N73" i="1"/>
  <c r="J73" i="1"/>
  <c r="E73" i="1"/>
  <c r="S72" i="1"/>
  <c r="R72" i="1"/>
  <c r="Q72" i="1"/>
  <c r="P72" i="1"/>
  <c r="O72" i="1"/>
  <c r="N72" i="1"/>
  <c r="J72" i="1"/>
  <c r="E72" i="1"/>
  <c r="S71" i="1"/>
  <c r="R71" i="1"/>
  <c r="Q71" i="1"/>
  <c r="P71" i="1"/>
  <c r="O71" i="1"/>
  <c r="N71" i="1"/>
  <c r="J71" i="1"/>
  <c r="E71" i="1"/>
  <c r="S70" i="1"/>
  <c r="R70" i="1"/>
  <c r="Q70" i="1"/>
  <c r="P70" i="1"/>
  <c r="O70" i="1"/>
  <c r="N70" i="1"/>
  <c r="J70" i="1"/>
  <c r="E70" i="1"/>
  <c r="S69" i="1"/>
  <c r="R69" i="1"/>
  <c r="Q69" i="1"/>
  <c r="P69" i="1"/>
  <c r="O69" i="1"/>
  <c r="N69" i="1"/>
  <c r="J69" i="1"/>
  <c r="E69" i="1"/>
  <c r="S68" i="1"/>
  <c r="R68" i="1"/>
  <c r="Q68" i="1"/>
  <c r="P68" i="1"/>
  <c r="O68" i="1"/>
  <c r="N68" i="1"/>
  <c r="J68" i="1"/>
  <c r="E68" i="1"/>
  <c r="S67" i="1"/>
  <c r="R67" i="1"/>
  <c r="Q67" i="1"/>
  <c r="P67" i="1"/>
  <c r="O67" i="1"/>
  <c r="N67" i="1"/>
  <c r="J67" i="1"/>
  <c r="E67" i="1"/>
  <c r="S66" i="1"/>
  <c r="R66" i="1"/>
  <c r="Q66" i="1"/>
  <c r="P66" i="1"/>
  <c r="O66" i="1"/>
  <c r="N66" i="1"/>
  <c r="J66" i="1"/>
  <c r="E66" i="1"/>
  <c r="S65" i="1"/>
  <c r="R65" i="1"/>
  <c r="Q65" i="1"/>
  <c r="P65" i="1"/>
  <c r="O65" i="1"/>
  <c r="N65" i="1"/>
  <c r="J65" i="1"/>
  <c r="E65" i="1"/>
  <c r="S64" i="1"/>
  <c r="R64" i="1"/>
  <c r="Q64" i="1"/>
  <c r="P64" i="1"/>
  <c r="O64" i="1"/>
  <c r="N64" i="1"/>
  <c r="J64" i="1"/>
  <c r="E64" i="1"/>
  <c r="S63" i="1"/>
  <c r="R63" i="1"/>
  <c r="Q63" i="1"/>
  <c r="P63" i="1"/>
  <c r="O63" i="1"/>
  <c r="N63" i="1"/>
  <c r="J63" i="1"/>
  <c r="E63" i="1"/>
  <c r="S62" i="1"/>
  <c r="R62" i="1"/>
  <c r="Q62" i="1"/>
  <c r="P62" i="1"/>
  <c r="O62" i="1"/>
  <c r="N62" i="1"/>
  <c r="J62" i="1"/>
  <c r="E62" i="1"/>
  <c r="S61" i="1"/>
  <c r="R61" i="1"/>
  <c r="Q61" i="1"/>
  <c r="P61" i="1"/>
  <c r="O61" i="1"/>
  <c r="N61" i="1"/>
  <c r="J61" i="1"/>
  <c r="E61" i="1"/>
  <c r="S60" i="1"/>
  <c r="R60" i="1"/>
  <c r="Q60" i="1"/>
  <c r="P60" i="1"/>
  <c r="O60" i="1"/>
  <c r="N60" i="1"/>
  <c r="J60" i="1"/>
  <c r="E60" i="1"/>
  <c r="S59" i="1"/>
  <c r="R59" i="1"/>
  <c r="Q59" i="1"/>
  <c r="P59" i="1"/>
  <c r="O59" i="1"/>
  <c r="N59" i="1"/>
  <c r="J59" i="1"/>
  <c r="E59" i="1"/>
  <c r="S58" i="1"/>
  <c r="R58" i="1"/>
  <c r="Q58" i="1"/>
  <c r="P58" i="1"/>
  <c r="O58" i="1"/>
  <c r="N58" i="1"/>
  <c r="J58" i="1"/>
  <c r="E58" i="1"/>
  <c r="S57" i="1"/>
  <c r="R57" i="1"/>
  <c r="Q57" i="1"/>
  <c r="P57" i="1"/>
  <c r="O57" i="1"/>
  <c r="N57" i="1"/>
  <c r="J57" i="1"/>
  <c r="E57" i="1"/>
  <c r="S56" i="1"/>
  <c r="R56" i="1"/>
  <c r="Q56" i="1"/>
  <c r="P56" i="1"/>
  <c r="O56" i="1"/>
  <c r="N56" i="1"/>
  <c r="J56" i="1"/>
  <c r="E56" i="1"/>
  <c r="S55" i="1"/>
  <c r="R55" i="1"/>
  <c r="Q55" i="1"/>
  <c r="P55" i="1"/>
  <c r="O55" i="1"/>
  <c r="N55" i="1"/>
  <c r="J55" i="1"/>
  <c r="E55" i="1"/>
  <c r="S54" i="1"/>
  <c r="R54" i="1"/>
  <c r="Q54" i="1"/>
  <c r="P54" i="1"/>
  <c r="O54" i="1"/>
  <c r="N54" i="1"/>
  <c r="J54" i="1"/>
  <c r="E54" i="1"/>
  <c r="S53" i="1"/>
  <c r="R53" i="1"/>
  <c r="Q53" i="1"/>
  <c r="P53" i="1"/>
  <c r="O53" i="1"/>
  <c r="N53" i="1"/>
  <c r="S52" i="1"/>
  <c r="R52" i="1"/>
  <c r="Q52" i="1"/>
  <c r="P52" i="1"/>
  <c r="O52" i="1"/>
  <c r="N52" i="1"/>
  <c r="S51" i="1"/>
  <c r="R51" i="1"/>
  <c r="Q51" i="1"/>
  <c r="P51" i="1"/>
  <c r="O51" i="1"/>
  <c r="N51" i="1"/>
  <c r="S50" i="1"/>
  <c r="R50" i="1"/>
  <c r="Q50" i="1"/>
  <c r="P50" i="1"/>
  <c r="O50" i="1"/>
  <c r="N50" i="1"/>
  <c r="G50" i="1"/>
  <c r="S49" i="1"/>
  <c r="R49" i="1"/>
  <c r="Q49" i="1"/>
  <c r="P49" i="1"/>
  <c r="O49" i="1"/>
  <c r="N49" i="1"/>
  <c r="S48" i="1"/>
  <c r="R48" i="1"/>
  <c r="Q48" i="1"/>
  <c r="P48" i="1"/>
  <c r="O48" i="1"/>
  <c r="N48" i="1"/>
  <c r="G48" i="1"/>
  <c r="S47" i="1"/>
  <c r="R47" i="1"/>
  <c r="Q47" i="1"/>
  <c r="P47" i="1"/>
  <c r="O47" i="1"/>
  <c r="N47" i="1"/>
  <c r="S46" i="1"/>
  <c r="R46" i="1"/>
  <c r="Q46" i="1"/>
  <c r="P46" i="1"/>
  <c r="O46" i="1"/>
  <c r="N46" i="1"/>
  <c r="G46" i="1"/>
  <c r="S45" i="1"/>
  <c r="R45" i="1"/>
  <c r="Q45" i="1"/>
  <c r="P45" i="1"/>
  <c r="O45" i="1"/>
  <c r="N45" i="1"/>
  <c r="S44" i="1"/>
  <c r="R44" i="1"/>
  <c r="Q44" i="1"/>
  <c r="P44" i="1"/>
  <c r="O44" i="1"/>
  <c r="N44" i="1"/>
  <c r="G44" i="1"/>
  <c r="S43" i="1"/>
  <c r="R43" i="1"/>
  <c r="Q43" i="1"/>
  <c r="P43" i="1"/>
  <c r="O43" i="1"/>
  <c r="N43" i="1"/>
  <c r="S42" i="1"/>
  <c r="R42" i="1"/>
  <c r="Q42" i="1"/>
  <c r="P42" i="1"/>
  <c r="O42" i="1"/>
  <c r="N42" i="1"/>
  <c r="G42" i="1"/>
  <c r="S41" i="1"/>
  <c r="R41" i="1"/>
  <c r="Q41" i="1"/>
  <c r="P41" i="1"/>
  <c r="O41" i="1"/>
  <c r="N41" i="1"/>
  <c r="S40" i="1"/>
  <c r="R40" i="1"/>
  <c r="Q40" i="1"/>
  <c r="P40" i="1"/>
  <c r="O40" i="1"/>
  <c r="N40" i="1"/>
  <c r="S39" i="1"/>
  <c r="R39" i="1"/>
  <c r="Q39" i="1"/>
  <c r="P39" i="1"/>
  <c r="O39" i="1"/>
  <c r="N39" i="1"/>
  <c r="S38" i="1"/>
  <c r="R38" i="1"/>
  <c r="Q38" i="1"/>
  <c r="P38" i="1"/>
  <c r="O38" i="1"/>
  <c r="N38" i="1"/>
  <c r="S37" i="1"/>
  <c r="R37" i="1"/>
  <c r="Q37" i="1"/>
  <c r="P37" i="1"/>
  <c r="O37" i="1"/>
  <c r="N37" i="1"/>
  <c r="B37" i="1"/>
  <c r="S36" i="1"/>
  <c r="R36" i="1"/>
  <c r="Q36" i="1"/>
  <c r="P36" i="1"/>
  <c r="O36" i="1"/>
  <c r="N36" i="1"/>
  <c r="S35" i="1"/>
  <c r="R35" i="1"/>
  <c r="Q35" i="1"/>
  <c r="P35" i="1"/>
  <c r="O35" i="1"/>
  <c r="N35" i="1"/>
  <c r="K35" i="1"/>
  <c r="I35" i="1"/>
  <c r="G35" i="1"/>
  <c r="E35" i="1"/>
  <c r="C35" i="1"/>
  <c r="A35" i="1"/>
  <c r="S34" i="1"/>
  <c r="R34" i="1"/>
  <c r="Q34" i="1"/>
  <c r="P34" i="1"/>
  <c r="O34" i="1"/>
  <c r="N34" i="1"/>
  <c r="K34" i="1"/>
  <c r="G34" i="1"/>
  <c r="C34" i="1"/>
  <c r="S33" i="1"/>
  <c r="R33" i="1"/>
  <c r="Q33" i="1"/>
  <c r="P33" i="1"/>
  <c r="O33" i="1"/>
  <c r="N33" i="1"/>
  <c r="L33" i="1"/>
  <c r="K33" i="1"/>
  <c r="G33" i="1"/>
  <c r="C33" i="1"/>
  <c r="S32" i="1"/>
  <c r="R32" i="1"/>
  <c r="Q32" i="1"/>
  <c r="P32" i="1"/>
  <c r="O32" i="1"/>
  <c r="N32" i="1"/>
  <c r="K32" i="1"/>
  <c r="G32" i="1"/>
  <c r="C32" i="1"/>
  <c r="S31" i="1"/>
  <c r="R31" i="1"/>
  <c r="Q31" i="1"/>
  <c r="P31" i="1"/>
  <c r="O31" i="1"/>
  <c r="N31" i="1"/>
  <c r="K31" i="1"/>
  <c r="G31" i="1"/>
  <c r="C31" i="1"/>
  <c r="S30" i="1"/>
  <c r="R30" i="1"/>
  <c r="Q30" i="1"/>
  <c r="P30" i="1"/>
  <c r="O30" i="1"/>
  <c r="N30" i="1"/>
  <c r="L30" i="1"/>
  <c r="K30" i="1"/>
  <c r="G30" i="1"/>
  <c r="C30" i="1"/>
  <c r="S29" i="1"/>
  <c r="R29" i="1"/>
  <c r="Q29" i="1"/>
  <c r="P29" i="1"/>
  <c r="O29" i="1"/>
  <c r="N29" i="1"/>
  <c r="K29" i="1"/>
  <c r="G29" i="1"/>
  <c r="C29" i="1"/>
  <c r="S28" i="1"/>
  <c r="R28" i="1"/>
  <c r="Q28" i="1"/>
  <c r="P28" i="1"/>
  <c r="O28" i="1"/>
  <c r="N28" i="1"/>
  <c r="S27" i="1"/>
  <c r="R27" i="1"/>
  <c r="Q27" i="1"/>
  <c r="P27" i="1"/>
  <c r="O27" i="1"/>
  <c r="N27" i="1"/>
  <c r="S26" i="1"/>
  <c r="R26" i="1"/>
  <c r="Q26" i="1"/>
  <c r="P26" i="1"/>
  <c r="O26" i="1"/>
  <c r="N26" i="1"/>
  <c r="S25" i="1"/>
  <c r="R25" i="1"/>
  <c r="Q25" i="1"/>
  <c r="P25" i="1"/>
  <c r="O25" i="1"/>
  <c r="N25" i="1"/>
  <c r="S24" i="1"/>
  <c r="R24" i="1"/>
  <c r="Q24" i="1"/>
  <c r="P24" i="1"/>
  <c r="O24" i="1"/>
  <c r="N24" i="1"/>
  <c r="J24" i="1"/>
  <c r="H24" i="1"/>
  <c r="F24" i="1"/>
  <c r="D24" i="1"/>
  <c r="B24" i="1"/>
  <c r="S23" i="1"/>
  <c r="R23" i="1"/>
  <c r="Q23" i="1"/>
  <c r="P23" i="1"/>
  <c r="O23" i="1"/>
  <c r="N23" i="1"/>
  <c r="S22" i="1"/>
  <c r="R22" i="1"/>
  <c r="Q22" i="1"/>
  <c r="P22" i="1"/>
  <c r="O22" i="1"/>
  <c r="N22" i="1"/>
  <c r="J22" i="1"/>
  <c r="H22" i="1"/>
  <c r="F22" i="1"/>
  <c r="D22" i="1"/>
  <c r="B22" i="1"/>
  <c r="S21" i="1"/>
  <c r="R21" i="1"/>
  <c r="Q21" i="1"/>
  <c r="P21" i="1"/>
  <c r="O21" i="1"/>
  <c r="N21" i="1"/>
  <c r="C17" i="1"/>
  <c r="O16" i="1"/>
  <c r="O12" i="1"/>
  <c r="K12" i="1"/>
  <c r="D40" i="1" s="1"/>
  <c r="I12" i="1"/>
  <c r="E37" i="1"/>
  <c r="H37" i="1" s="1"/>
  <c r="G12" i="1"/>
  <c r="F17" i="1" s="1"/>
  <c r="I17" i="1" s="1"/>
  <c r="E12" i="1"/>
  <c r="H33" i="1" s="1"/>
  <c r="H30" i="1"/>
  <c r="C12" i="1"/>
  <c r="O11" i="1"/>
  <c r="O10" i="1"/>
  <c r="O9" i="1"/>
  <c r="G9" i="1"/>
  <c r="O8" i="1"/>
  <c r="O7" i="1"/>
  <c r="O6" i="1"/>
  <c r="Z2" i="1" a="1"/>
  <c r="Z10" i="1" s="1"/>
  <c r="Y2" i="1" a="1"/>
  <c r="Y16" i="1" s="1"/>
  <c r="X2" i="1" a="1"/>
  <c r="X32" i="1" s="1"/>
  <c r="W2" i="1" a="1"/>
  <c r="W23" i="1" s="1"/>
  <c r="V2" i="1" a="1"/>
  <c r="V38" i="1" s="1"/>
  <c r="U2" i="1" a="1"/>
  <c r="U16" i="1" s="1"/>
  <c r="H29" i="1"/>
  <c r="H35" i="1"/>
  <c r="D30" i="1"/>
  <c r="D35" i="1"/>
  <c r="D33" i="1"/>
  <c r="H32" i="1"/>
  <c r="L32" i="1"/>
  <c r="L35" i="1"/>
  <c r="I374" i="3"/>
  <c r="I342" i="3"/>
  <c r="I246" i="3"/>
  <c r="I214" i="3"/>
  <c r="I182" i="3"/>
  <c r="I338" i="3"/>
  <c r="I306" i="3"/>
  <c r="I242" i="3"/>
  <c r="I210" i="3"/>
  <c r="I146" i="3"/>
  <c r="I114" i="3"/>
  <c r="I273" i="3"/>
  <c r="I241" i="3"/>
  <c r="I209" i="3"/>
  <c r="I145" i="3"/>
  <c r="I208" i="3"/>
  <c r="I176" i="3"/>
  <c r="I112" i="3"/>
  <c r="I271" i="3"/>
  <c r="I239" i="3"/>
  <c r="I143" i="3"/>
  <c r="I20" i="3"/>
  <c r="I364" i="3"/>
  <c r="I204" i="3"/>
  <c r="I172" i="3"/>
  <c r="I359" i="3"/>
  <c r="I263" i="3"/>
  <c r="I231" i="3"/>
  <c r="I230" i="3"/>
  <c r="I198" i="3"/>
  <c r="I166" i="3"/>
  <c r="I134" i="3"/>
  <c r="I70" i="3"/>
  <c r="I357" i="3"/>
  <c r="I325" i="3"/>
  <c r="I165" i="3"/>
  <c r="I133" i="3"/>
  <c r="I292" i="3"/>
  <c r="I260" i="3"/>
  <c r="I196" i="3"/>
  <c r="I132" i="3"/>
  <c r="I257" i="3"/>
  <c r="I225" i="3"/>
  <c r="I193" i="3"/>
  <c r="I161" i="3"/>
  <c r="I317" i="3"/>
  <c r="I285" i="3"/>
  <c r="I221" i="3"/>
  <c r="I24" i="3"/>
  <c r="I14" i="3"/>
  <c r="I188" i="3"/>
  <c r="I156" i="3"/>
  <c r="I124" i="3"/>
  <c r="I346" i="3"/>
  <c r="I314" i="3"/>
  <c r="I218" i="3"/>
  <c r="I186" i="3"/>
  <c r="I154" i="3"/>
  <c r="I90" i="3"/>
  <c r="I185" i="3"/>
  <c r="I153" i="3"/>
  <c r="I248" i="3"/>
  <c r="I216" i="3"/>
  <c r="I184" i="3"/>
  <c r="I56" i="3"/>
  <c r="I217" i="3"/>
  <c r="L31" i="1"/>
  <c r="D34" i="1"/>
  <c r="I155" i="3"/>
  <c r="I219" i="3"/>
  <c r="I251" i="3"/>
  <c r="I347" i="3"/>
  <c r="H34" i="1"/>
  <c r="D29" i="1"/>
  <c r="L34" i="1"/>
  <c r="I62" i="3"/>
  <c r="I126" i="3"/>
  <c r="I158" i="3"/>
  <c r="I4" i="3"/>
  <c r="I191" i="3"/>
  <c r="I223" i="3"/>
  <c r="I15" i="3"/>
  <c r="I64" i="3"/>
  <c r="I96" i="3"/>
  <c r="I256" i="3"/>
  <c r="I288" i="3"/>
  <c r="I320" i="3"/>
  <c r="L29" i="1"/>
  <c r="D32" i="1"/>
  <c r="I130" i="3"/>
  <c r="I162" i="3"/>
  <c r="I194" i="3"/>
  <c r="I322" i="3"/>
  <c r="I354" i="3"/>
  <c r="I16" i="3"/>
  <c r="I99" i="3"/>
  <c r="I195" i="3"/>
  <c r="I259" i="3"/>
  <c r="I229" i="3"/>
  <c r="I232" i="3"/>
  <c r="I264" i="3"/>
  <c r="I296" i="3"/>
  <c r="I30" i="3"/>
  <c r="I105" i="3"/>
  <c r="I169" i="3"/>
  <c r="I297" i="3"/>
  <c r="I74" i="3"/>
  <c r="I138" i="3"/>
  <c r="I170" i="3"/>
  <c r="I202" i="3"/>
  <c r="I234" i="3"/>
  <c r="I330" i="3"/>
  <c r="I362" i="3"/>
  <c r="I8" i="3"/>
  <c r="I31" i="3"/>
  <c r="I235" i="3"/>
  <c r="I267" i="3"/>
  <c r="I299" i="3"/>
  <c r="I331" i="3"/>
  <c r="I363" i="3"/>
  <c r="I205" i="3"/>
  <c r="I301" i="3"/>
  <c r="I333" i="3"/>
  <c r="I365" i="3"/>
  <c r="I9" i="3"/>
  <c r="I110" i="3"/>
  <c r="I238" i="3"/>
  <c r="I270" i="3"/>
  <c r="I334" i="3"/>
  <c r="I337" i="3"/>
  <c r="I21" i="3"/>
  <c r="I35" i="3"/>
  <c r="I51" i="3"/>
  <c r="I83" i="3"/>
  <c r="I115" i="3"/>
  <c r="I243" i="3"/>
  <c r="I275" i="3"/>
  <c r="I307" i="3"/>
  <c r="I339" i="3"/>
  <c r="I371" i="3"/>
  <c r="I84" i="3"/>
  <c r="I148" i="3"/>
  <c r="I212" i="3"/>
  <c r="I276" i="3"/>
  <c r="I308" i="3"/>
  <c r="I340" i="3"/>
  <c r="I117" i="3"/>
  <c r="I149" i="3"/>
  <c r="I181" i="3"/>
  <c r="I213" i="3"/>
  <c r="I12" i="3"/>
  <c r="D31" i="1" l="1"/>
  <c r="H31" i="1"/>
  <c r="V36" i="1"/>
  <c r="Y187" i="1"/>
  <c r="V19" i="1"/>
  <c r="U38" i="1"/>
  <c r="V2" i="1"/>
  <c r="V37" i="1"/>
  <c r="I147" i="3"/>
  <c r="Y164" i="1"/>
  <c r="Y142" i="1"/>
  <c r="Y149" i="1"/>
  <c r="Y107" i="1"/>
  <c r="Y132" i="1"/>
  <c r="Y99" i="1"/>
  <c r="I6" i="3"/>
  <c r="V51" i="1"/>
  <c r="Y146" i="1"/>
  <c r="Y152" i="1"/>
  <c r="V10" i="1"/>
  <c r="U29" i="1"/>
  <c r="Y87" i="1"/>
  <c r="Y196" i="1"/>
  <c r="Y131" i="1"/>
  <c r="Y201" i="1"/>
  <c r="Y14" i="1"/>
  <c r="Y117" i="1"/>
  <c r="Y180" i="1"/>
  <c r="U23" i="1"/>
  <c r="Y100" i="1"/>
  <c r="Y169" i="1"/>
  <c r="Y67" i="1"/>
  <c r="Y62" i="1"/>
  <c r="Y85" i="1"/>
  <c r="Y148" i="1"/>
  <c r="Y158" i="1"/>
  <c r="I57" i="3"/>
  <c r="Y157" i="1"/>
  <c r="Y137" i="1"/>
  <c r="U15" i="1"/>
  <c r="I106" i="3"/>
  <c r="Y189" i="1"/>
  <c r="Y53" i="1"/>
  <c r="Y116" i="1"/>
  <c r="Y125" i="1"/>
  <c r="I121" i="3"/>
  <c r="I293" i="3"/>
  <c r="I274" i="3"/>
  <c r="Y95" i="1"/>
  <c r="Y193" i="1"/>
  <c r="Y19" i="1"/>
  <c r="Y88" i="1"/>
  <c r="Y184" i="1"/>
  <c r="V42" i="1"/>
  <c r="Y60" i="1"/>
  <c r="Y65" i="1"/>
  <c r="I18" i="3"/>
  <c r="Y185" i="1"/>
  <c r="Y133" i="1"/>
  <c r="Y7" i="1"/>
  <c r="I137" i="3"/>
  <c r="Y92" i="1"/>
  <c r="Y28" i="1"/>
  <c r="Y33" i="1"/>
  <c r="V50" i="1"/>
  <c r="V30" i="1"/>
  <c r="Y4" i="1"/>
  <c r="I22" i="3"/>
  <c r="Y141" i="1"/>
  <c r="Y183" i="1"/>
  <c r="Y79" i="1"/>
  <c r="Y110" i="1"/>
  <c r="Y165" i="1"/>
  <c r="Y119" i="1"/>
  <c r="Y120" i="1"/>
  <c r="Y15" i="1"/>
  <c r="Y97" i="1"/>
  <c r="Y182" i="1"/>
  <c r="Y135" i="1"/>
  <c r="Y63" i="1"/>
  <c r="Y26" i="1"/>
  <c r="Y178" i="1"/>
  <c r="Y43" i="1"/>
  <c r="Y191" i="1"/>
  <c r="Y143" i="1"/>
  <c r="Y123" i="1"/>
  <c r="Y105" i="1"/>
  <c r="Y73" i="1"/>
  <c r="V46" i="1"/>
  <c r="Y74" i="1"/>
  <c r="I366" i="3"/>
  <c r="Y162" i="1"/>
  <c r="Y186" i="1"/>
  <c r="Y54" i="1"/>
  <c r="I255" i="3"/>
  <c r="Y30" i="1"/>
  <c r="V41" i="1"/>
  <c r="I348" i="3"/>
  <c r="I332" i="3"/>
  <c r="Y151" i="1"/>
  <c r="V6" i="1"/>
  <c r="Y163" i="1"/>
  <c r="Y179" i="1"/>
  <c r="I43" i="3"/>
  <c r="Y2" i="1"/>
  <c r="Y192" i="1"/>
  <c r="Y6" i="1"/>
  <c r="Y188" i="1"/>
  <c r="Y118" i="1"/>
  <c r="Y71" i="1"/>
  <c r="Y190" i="1"/>
  <c r="Y144" i="1"/>
  <c r="Y106" i="1"/>
  <c r="U50" i="1"/>
  <c r="Y32" i="1"/>
  <c r="Y86" i="1"/>
  <c r="Y39" i="1"/>
  <c r="Y126" i="1"/>
  <c r="Y112" i="1"/>
  <c r="Y42" i="1"/>
  <c r="Y130" i="1"/>
  <c r="Y154" i="1"/>
  <c r="Y22" i="1"/>
  <c r="Y147" i="1"/>
  <c r="V9" i="1"/>
  <c r="Y139" i="1"/>
  <c r="Y108" i="1"/>
  <c r="V8" i="1"/>
  <c r="U46" i="1"/>
  <c r="Y29" i="1"/>
  <c r="Y21" i="1"/>
  <c r="Y84" i="1"/>
  <c r="Y61" i="1"/>
  <c r="I81" i="3"/>
  <c r="Y161" i="1"/>
  <c r="Y102" i="1"/>
  <c r="I60" i="3"/>
  <c r="Y70" i="1"/>
  <c r="I116" i="3"/>
  <c r="Y160" i="1"/>
  <c r="I167" i="3"/>
  <c r="Y150" i="1"/>
  <c r="Y103" i="1"/>
  <c r="U11" i="1"/>
  <c r="Y176" i="1"/>
  <c r="I76" i="3"/>
  <c r="Y10" i="1"/>
  <c r="Y98" i="1"/>
  <c r="Y122" i="1"/>
  <c r="Y115" i="1"/>
  <c r="U28" i="1"/>
  <c r="Y47" i="1"/>
  <c r="U14" i="1"/>
  <c r="Y167" i="1"/>
  <c r="Y197" i="1"/>
  <c r="I92" i="3"/>
  <c r="Y40" i="1"/>
  <c r="Y172" i="1"/>
  <c r="Y18" i="1"/>
  <c r="Y155" i="1"/>
  <c r="Y177" i="1"/>
  <c r="U6" i="1"/>
  <c r="Y159" i="1"/>
  <c r="Y145" i="1"/>
  <c r="Y111" i="1"/>
  <c r="Y109" i="1"/>
  <c r="Y77" i="1"/>
  <c r="Y55" i="1"/>
  <c r="U36" i="1"/>
  <c r="U27" i="1"/>
  <c r="Y93" i="1"/>
  <c r="Y129" i="1"/>
  <c r="V18" i="1"/>
  <c r="Y46" i="1"/>
  <c r="U17" i="1"/>
  <c r="Y38" i="1"/>
  <c r="Y128" i="1"/>
  <c r="Y66" i="1"/>
  <c r="Y90" i="1"/>
  <c r="Y83" i="1"/>
  <c r="I40" i="3"/>
  <c r="Y8" i="1"/>
  <c r="I142" i="3"/>
  <c r="Y34" i="1"/>
  <c r="Y58" i="1"/>
  <c r="I226" i="3"/>
  <c r="Y171" i="1"/>
  <c r="Y140" i="1"/>
  <c r="I93" i="3"/>
  <c r="I175" i="3"/>
  <c r="W13" i="1"/>
  <c r="U30" i="1"/>
  <c r="W36" i="1"/>
  <c r="U20" i="1"/>
  <c r="W44" i="1"/>
  <c r="W9" i="1"/>
  <c r="W12" i="1"/>
  <c r="V28" i="1"/>
  <c r="Z16" i="1"/>
  <c r="V49" i="1"/>
  <c r="V31" i="1"/>
  <c r="U47" i="1"/>
  <c r="V17" i="1"/>
  <c r="W51" i="1"/>
  <c r="X12" i="1"/>
  <c r="X35" i="1"/>
  <c r="W32" i="1"/>
  <c r="W8" i="1"/>
  <c r="W28" i="1"/>
  <c r="W40" i="1"/>
  <c r="W14" i="1"/>
  <c r="W10" i="1"/>
  <c r="W21" i="1"/>
  <c r="W25" i="1"/>
  <c r="W18" i="1"/>
  <c r="W20" i="1"/>
  <c r="W50" i="1"/>
  <c r="W26" i="1"/>
  <c r="W15" i="1"/>
  <c r="W29" i="1"/>
  <c r="W7" i="1"/>
  <c r="W47" i="1"/>
  <c r="W39" i="1"/>
  <c r="U41" i="1"/>
  <c r="U18" i="1"/>
  <c r="X21" i="1"/>
  <c r="W31" i="1"/>
  <c r="U4" i="1"/>
  <c r="X24" i="1"/>
  <c r="X3" i="1"/>
  <c r="X23" i="1"/>
  <c r="X49" i="1"/>
  <c r="X9" i="1"/>
  <c r="X13" i="1"/>
  <c r="X41" i="1"/>
  <c r="X45" i="1"/>
  <c r="X38" i="1"/>
  <c r="X30" i="1"/>
  <c r="X4" i="1"/>
  <c r="X44" i="1"/>
  <c r="X36" i="1"/>
  <c r="X33" i="1"/>
  <c r="X48" i="1"/>
  <c r="X7" i="1"/>
  <c r="X39" i="1"/>
  <c r="X10" i="1"/>
  <c r="X18" i="1"/>
  <c r="X28" i="1"/>
  <c r="X31" i="1"/>
  <c r="X42" i="1"/>
  <c r="X17" i="1"/>
  <c r="X20" i="1"/>
  <c r="X16" i="1"/>
  <c r="W34" i="1"/>
  <c r="W43" i="1"/>
  <c r="W22" i="1"/>
  <c r="W11" i="1"/>
  <c r="Z3" i="1"/>
  <c r="U35" i="1"/>
  <c r="V15" i="1"/>
  <c r="V14" i="1"/>
  <c r="V24" i="1"/>
  <c r="V5" i="1"/>
  <c r="Z4" i="1"/>
  <c r="Z30" i="1"/>
  <c r="Z12" i="1"/>
  <c r="Z25" i="1"/>
  <c r="Z2" i="1"/>
  <c r="Z6" i="1"/>
  <c r="Z15" i="1"/>
  <c r="Z26" i="1"/>
  <c r="Z20" i="1"/>
  <c r="Z22" i="1"/>
  <c r="Z28" i="1"/>
  <c r="X14" i="1"/>
  <c r="W33" i="1"/>
  <c r="I73" i="3"/>
  <c r="Z21" i="1"/>
  <c r="I290" i="3"/>
  <c r="I224" i="3"/>
  <c r="X6" i="1"/>
  <c r="I315" i="3"/>
  <c r="I125" i="3"/>
  <c r="I268" i="3"/>
  <c r="I375" i="3"/>
  <c r="Z19" i="1"/>
  <c r="W2" i="1"/>
  <c r="I46" i="3"/>
  <c r="I258" i="3"/>
  <c r="I128" i="3"/>
  <c r="V44" i="1"/>
  <c r="I283" i="3"/>
  <c r="I189" i="3"/>
  <c r="I300" i="3"/>
  <c r="V20" i="1"/>
  <c r="U39" i="1"/>
  <c r="X51" i="1"/>
  <c r="W4" i="1"/>
  <c r="Z11" i="1"/>
  <c r="V12" i="1"/>
  <c r="V22" i="1"/>
  <c r="W19" i="1"/>
  <c r="X29" i="1"/>
  <c r="U7" i="1"/>
  <c r="X19" i="1"/>
  <c r="U10" i="1"/>
  <c r="W38" i="1"/>
  <c r="Z9" i="1"/>
  <c r="W16" i="1"/>
  <c r="Z24" i="1"/>
  <c r="U3" i="1"/>
  <c r="W48" i="1"/>
  <c r="X46" i="1"/>
  <c r="W35" i="1"/>
  <c r="X47" i="1"/>
  <c r="W5" i="1"/>
  <c r="X15" i="1"/>
  <c r="V25" i="1"/>
  <c r="U22" i="1"/>
  <c r="Z29" i="1"/>
  <c r="U32" i="1"/>
  <c r="X37" i="1"/>
  <c r="V32" i="1"/>
  <c r="I17" i="3"/>
  <c r="I163" i="3"/>
  <c r="X5" i="1"/>
  <c r="I280" i="3"/>
  <c r="I68" i="3"/>
  <c r="I367" i="3"/>
  <c r="W42" i="1"/>
  <c r="I131" i="3"/>
  <c r="W24" i="1"/>
  <c r="I122" i="3"/>
  <c r="I38" i="3"/>
  <c r="I100" i="3"/>
  <c r="I80" i="3"/>
  <c r="X8" i="1"/>
  <c r="Z18" i="1"/>
  <c r="W27" i="1"/>
  <c r="X34" i="1"/>
  <c r="Z27" i="1"/>
  <c r="W6" i="1"/>
  <c r="Z5" i="1"/>
  <c r="V35" i="1"/>
  <c r="V13" i="1"/>
  <c r="V43" i="1"/>
  <c r="W49" i="1"/>
  <c r="W3" i="1"/>
  <c r="V4" i="1"/>
  <c r="V3" i="1"/>
  <c r="U40" i="1"/>
  <c r="U44" i="1"/>
  <c r="X2" i="1"/>
  <c r="V29" i="1"/>
  <c r="X27" i="1"/>
  <c r="Z17" i="1"/>
  <c r="W46" i="1"/>
  <c r="X22" i="1"/>
  <c r="I67" i="3"/>
  <c r="X43" i="1"/>
  <c r="X26" i="1"/>
  <c r="V7" i="1"/>
  <c r="V11" i="1"/>
  <c r="I89" i="3"/>
  <c r="I164" i="3"/>
  <c r="X40" i="1"/>
  <c r="U12" i="1"/>
  <c r="U26" i="1"/>
  <c r="U25" i="1"/>
  <c r="U48" i="1"/>
  <c r="U31" i="1"/>
  <c r="U5" i="1"/>
  <c r="U37" i="1"/>
  <c r="U13" i="1"/>
  <c r="U8" i="1"/>
  <c r="U9" i="1"/>
  <c r="U45" i="1"/>
  <c r="U43" i="1"/>
  <c r="U49" i="1"/>
  <c r="U42" i="1"/>
  <c r="U2" i="1"/>
  <c r="U33" i="1"/>
  <c r="U21" i="1"/>
  <c r="Z13" i="1"/>
  <c r="X50" i="1"/>
  <c r="U34" i="1"/>
  <c r="Z7" i="1"/>
  <c r="W30" i="1"/>
  <c r="U51" i="1"/>
  <c r="U19" i="1"/>
  <c r="Z14" i="1"/>
  <c r="W17" i="1"/>
  <c r="Z23" i="1"/>
  <c r="U24" i="1"/>
  <c r="W37" i="1"/>
  <c r="X25" i="1"/>
  <c r="W41" i="1"/>
  <c r="X11" i="1"/>
  <c r="W45" i="1"/>
  <c r="Z8" i="1"/>
  <c r="V23" i="1"/>
  <c r="V47" i="1"/>
  <c r="V27" i="1"/>
  <c r="V40" i="1"/>
  <c r="V33" i="1"/>
  <c r="V39" i="1"/>
  <c r="V45" i="1"/>
  <c r="V16" i="1"/>
  <c r="V34" i="1"/>
  <c r="V48" i="1"/>
  <c r="V26" i="1"/>
  <c r="V21" i="1"/>
  <c r="I150" i="3"/>
  <c r="I79" i="3"/>
  <c r="I101" i="3"/>
  <c r="I316" i="3"/>
  <c r="I152" i="3"/>
  <c r="I190" i="3"/>
  <c r="I291" i="3"/>
  <c r="I201" i="3"/>
  <c r="I118" i="3"/>
  <c r="I49" i="3"/>
  <c r="I356" i="3"/>
  <c r="I284" i="3"/>
  <c r="I120" i="3"/>
  <c r="I222" i="3"/>
  <c r="I323" i="3"/>
  <c r="I233" i="3"/>
  <c r="I179" i="3"/>
  <c r="I370" i="3"/>
  <c r="I33" i="3"/>
  <c r="I324" i="3"/>
  <c r="I220" i="3"/>
  <c r="I88" i="3"/>
  <c r="I350" i="3"/>
  <c r="I355" i="3"/>
  <c r="I265" i="3"/>
  <c r="I211" i="3"/>
  <c r="I55" i="3"/>
  <c r="I54" i="3"/>
  <c r="I173" i="3"/>
  <c r="I178" i="3"/>
  <c r="I180" i="3"/>
  <c r="I82" i="3"/>
  <c r="I140" i="3"/>
  <c r="I321" i="3"/>
  <c r="I282" i="3"/>
  <c r="I160" i="3"/>
  <c r="I266" i="3"/>
  <c r="I174" i="3"/>
  <c r="I372" i="3"/>
  <c r="I298" i="3"/>
  <c r="I206" i="3"/>
  <c r="I85" i="3"/>
  <c r="I305" i="3"/>
  <c r="I108" i="3"/>
  <c r="I289" i="3"/>
  <c r="I250" i="3"/>
  <c r="I192" i="3"/>
  <c r="I113" i="3"/>
  <c r="I199" i="3"/>
  <c r="I129" i="3"/>
  <c r="I58" i="3"/>
  <c r="I25" i="3"/>
  <c r="I7" i="3"/>
  <c r="I309" i="3"/>
  <c r="I37" i="3"/>
  <c r="I50" i="3"/>
  <c r="I135" i="3"/>
  <c r="I13" i="3"/>
  <c r="I23" i="3"/>
  <c r="I41" i="3"/>
  <c r="I72" i="3"/>
  <c r="I75" i="3"/>
  <c r="I341" i="3"/>
  <c r="I87" i="3"/>
  <c r="I34" i="3"/>
  <c r="I71" i="3"/>
  <c r="I65" i="3"/>
  <c r="I345" i="3"/>
  <c r="I39" i="3"/>
  <c r="I63" i="3"/>
  <c r="I104" i="3"/>
  <c r="I107" i="3"/>
  <c r="I373" i="3"/>
  <c r="I151" i="3"/>
  <c r="I10" i="3"/>
  <c r="I45" i="3"/>
  <c r="I42" i="3"/>
  <c r="I313" i="3"/>
  <c r="I59" i="3"/>
  <c r="I95" i="3"/>
  <c r="I5" i="3"/>
  <c r="I136" i="3"/>
  <c r="I139" i="3"/>
  <c r="I48" i="3"/>
  <c r="I183" i="3"/>
  <c r="I32" i="3"/>
  <c r="I272" i="3"/>
  <c r="I29" i="3"/>
  <c r="I281" i="3"/>
  <c r="I91" i="3"/>
  <c r="I66" i="3"/>
  <c r="I168" i="3"/>
  <c r="I171" i="3"/>
  <c r="I109" i="3"/>
  <c r="I215" i="3"/>
  <c r="I240" i="3"/>
  <c r="I358" i="3"/>
  <c r="I349" i="3"/>
  <c r="I249" i="3"/>
  <c r="I123" i="3"/>
  <c r="I159" i="3"/>
  <c r="I98" i="3"/>
  <c r="I200" i="3"/>
  <c r="I203" i="3"/>
  <c r="I141" i="3"/>
  <c r="I247" i="3"/>
  <c r="I310" i="3"/>
  <c r="I177" i="3"/>
  <c r="Y41" i="1"/>
  <c r="Y23" i="1"/>
  <c r="Y153" i="1"/>
  <c r="Y52" i="1"/>
  <c r="Y113" i="1"/>
  <c r="Y76" i="1"/>
  <c r="Y37" i="1"/>
  <c r="Y200" i="1"/>
  <c r="Y9" i="1"/>
  <c r="Y127" i="1"/>
  <c r="Y121" i="1"/>
  <c r="I127" i="3"/>
  <c r="Y20" i="1"/>
  <c r="Y81" i="1"/>
  <c r="Y44" i="1"/>
  <c r="I26" i="3"/>
  <c r="Y78" i="1"/>
  <c r="Y168" i="1"/>
  <c r="Y89" i="1"/>
  <c r="Y174" i="1"/>
  <c r="Y49" i="1"/>
  <c r="Y12" i="1"/>
  <c r="Y136" i="1"/>
  <c r="Y57" i="1"/>
  <c r="Y17" i="1"/>
  <c r="Y104" i="1"/>
  <c r="I207" i="3"/>
  <c r="Y25" i="1"/>
  <c r="I97" i="3"/>
  <c r="Y72" i="1"/>
  <c r="Y195" i="1"/>
  <c r="I47" i="3"/>
  <c r="I157" i="3"/>
  <c r="Y75" i="1"/>
  <c r="Y45" i="1"/>
  <c r="Y156" i="1"/>
  <c r="I197" i="3"/>
  <c r="Y56" i="1"/>
  <c r="Y11" i="1"/>
  <c r="Y51" i="1"/>
  <c r="Y35" i="1"/>
  <c r="Y96" i="1"/>
  <c r="Y13" i="1"/>
  <c r="Y124" i="1"/>
  <c r="Y3" i="1"/>
  <c r="Y64" i="1"/>
  <c r="Y31" i="1"/>
  <c r="Y24" i="1"/>
  <c r="Y175" i="1"/>
  <c r="Y68" i="1"/>
  <c r="Y198" i="1"/>
  <c r="Y91" i="1"/>
  <c r="Y101" i="1"/>
  <c r="Y114" i="1"/>
  <c r="Y94" i="1"/>
  <c r="Y80" i="1"/>
  <c r="Y173" i="1"/>
  <c r="Y36" i="1"/>
  <c r="Y170" i="1"/>
  <c r="Y166" i="1"/>
  <c r="Y59" i="1"/>
  <c r="Y69" i="1"/>
  <c r="Y82" i="1"/>
  <c r="Y48" i="1"/>
  <c r="Y138" i="1"/>
  <c r="Y134" i="1"/>
  <c r="Y27" i="1"/>
  <c r="Y194" i="1"/>
  <c r="Y181" i="1"/>
  <c r="Y199" i="1"/>
  <c r="Y5" i="1"/>
  <c r="Y50" i="1"/>
</calcChain>
</file>

<file path=xl/sharedStrings.xml><?xml version="1.0" encoding="utf-8"?>
<sst xmlns="http://schemas.openxmlformats.org/spreadsheetml/2006/main" count="3062" uniqueCount="1141">
  <si>
    <t>EDHA CHARACTER BUILDER v2</t>
  </si>
  <si>
    <t>TALENT VIEWER</t>
  </si>
  <si>
    <t>HeroicTalents</t>
  </si>
  <si>
    <t>Ley1Talents</t>
  </si>
  <si>
    <t>Ley2Talents</t>
  </si>
  <si>
    <t>DeityTalents</t>
  </si>
  <si>
    <t>AllActiveTalents</t>
  </si>
  <si>
    <t>ActiveSpecialties</t>
  </si>
  <si>
    <t>Cosmere RPG • Edha • Excel 365 • Duplicate this sheet to create additional characters</t>
  </si>
  <si>
    <t>Look up any talent by name, or browse by path below.</t>
  </si>
  <si>
    <t>STEP 1: CHARACTER INFO</t>
  </si>
  <si>
    <t>TALENT DETAIL LOOKUP</t>
  </si>
  <si>
    <t>Name</t>
  </si>
  <si>
    <t>Level</t>
  </si>
  <si>
    <t>Ancestry</t>
  </si>
  <si>
    <t>Human</t>
  </si>
  <si>
    <t>Talent Name:</t>
  </si>
  <si>
    <t>Heroic Path</t>
  </si>
  <si>
    <t>Heroic Specialty</t>
  </si>
  <si>
    <t>Atlas:</t>
  </si>
  <si>
    <t>Leyline Path 1</t>
  </si>
  <si>
    <t>Leyline Specialty 1</t>
  </si>
  <si>
    <t>Path:</t>
  </si>
  <si>
    <t>Leyline Path 2</t>
  </si>
  <si>
    <t>Leyline Specialty 2</t>
  </si>
  <si>
    <t>Specialty:</t>
  </si>
  <si>
    <t>Deity Path</t>
  </si>
  <si>
    <t>Deity Domain</t>
  </si>
  <si>
    <t>Action:</t>
  </si>
  <si>
    <t>Cost:</t>
  </si>
  <si>
    <t>PROGRESSION (auto-calculated)</t>
  </si>
  <si>
    <t>Prerequisites:</t>
  </si>
  <si>
    <t>Tier</t>
  </si>
  <si>
    <t>Max Skill Rank</t>
  </si>
  <si>
    <t>Attribute Points</t>
  </si>
  <si>
    <t>Skill Ranks</t>
  </si>
  <si>
    <t>Talent Points</t>
  </si>
  <si>
    <t>Description:</t>
  </si>
  <si>
    <t>STEP 2: DISTRIBUTE ATTRIBUTE POINTS</t>
  </si>
  <si>
    <t>Strength (STR)</t>
  </si>
  <si>
    <t>Speed (SPD)</t>
  </si>
  <si>
    <t>Intellect (INT)</t>
  </si>
  <si>
    <t>Willpower (WIL)</t>
  </si>
  <si>
    <t>Awareness (AWA)</t>
  </si>
  <si>
    <t>Presence (PRE)</t>
  </si>
  <si>
    <t>Prereq Met?</t>
  </si>
  <si>
    <t>Points Spent</t>
  </si>
  <si>
    <t>Available</t>
  </si>
  <si>
    <t>Remaining</t>
  </si>
  <si>
    <t>Level 1 max: 3/attr. Spin buttons deferred to Claude Design.</t>
  </si>
  <si>
    <t>BROWSE BY PATH</t>
  </si>
  <si>
    <t>Filter Path:</t>
  </si>
  <si>
    <t>DERIVED STATS (auto-calculated)</t>
  </si>
  <si>
    <t>Talent Name</t>
  </si>
  <si>
    <t>Specialty</t>
  </si>
  <si>
    <t>Action</t>
  </si>
  <si>
    <t>Cost</t>
  </si>
  <si>
    <t>Description</t>
  </si>
  <si>
    <t>Prereqs</t>
  </si>
  <si>
    <t>Physical Def</t>
  </si>
  <si>
    <t>Cognitive Def</t>
  </si>
  <si>
    <t>Spiritual Def</t>
  </si>
  <si>
    <t>Health</t>
  </si>
  <si>
    <t>Focus</t>
  </si>
  <si>
    <t>Investiture</t>
  </si>
  <si>
    <t>Movement</t>
  </si>
  <si>
    <t>Recovery Die</t>
  </si>
  <si>
    <t>Senses Range</t>
  </si>
  <si>
    <t>Deflect</t>
  </si>
  <si>
    <t>STEP 3: ASSIGN SKILL RANKS</t>
  </si>
  <si>
    <t>PHYSICAL</t>
  </si>
  <si>
    <t>COGNITIVE</t>
  </si>
  <si>
    <t>SPIRITUAL</t>
  </si>
  <si>
    <t>Skill</t>
  </si>
  <si>
    <t>Rank</t>
  </si>
  <si>
    <t>Mod</t>
  </si>
  <si>
    <t>Max</t>
  </si>
  <si>
    <t>Agility (SPD)</t>
  </si>
  <si>
    <t>Crafting (INT)</t>
  </si>
  <si>
    <t>Deception (PRE)</t>
  </si>
  <si>
    <t>Athletics (STR)</t>
  </si>
  <si>
    <t>Deduction (INT)</t>
  </si>
  <si>
    <t>Insight (AWA)</t>
  </si>
  <si>
    <t>Heavy Weaponry (STR)</t>
  </si>
  <si>
    <t>Discipline (WIL)</t>
  </si>
  <si>
    <t>Leadership (PRE)</t>
  </si>
  <si>
    <t>Light Weaponry (SPD)</t>
  </si>
  <si>
    <t>Intimidation (WIL)</t>
  </si>
  <si>
    <t>Perception (AWA)</t>
  </si>
  <si>
    <t>Stealth (SPD)</t>
  </si>
  <si>
    <t>Lore (INT)</t>
  </si>
  <si>
    <t>Persuasion (PRE)</t>
  </si>
  <si>
    <t>Thievery (SPD)</t>
  </si>
  <si>
    <t>Medicine (INT)</t>
  </si>
  <si>
    <t>Survival (AWA)</t>
  </si>
  <si>
    <t>Ranks Spent</t>
  </si>
  <si>
    <t>STEP 4: SELECT TALENTS</t>
  </si>
  <si>
    <t>Total Talent Points</t>
  </si>
  <si>
    <t>ANCESTRY TALENT</t>
  </si>
  <si>
    <t>One bonus talent (any path)</t>
  </si>
  <si>
    <t>Name:</t>
  </si>
  <si>
    <t>Desc:</t>
  </si>
  <si>
    <t>HEROIC PATH — KEY</t>
  </si>
  <si>
    <t>Auto-filled from Heroic Path</t>
  </si>
  <si>
    <t>HEROIC PATH — ADDITIONAL</t>
  </si>
  <si>
    <t>Choose from Heroic Path talents</t>
  </si>
  <si>
    <t>LEYLINE PATH — KEY</t>
  </si>
  <si>
    <t>Auto-filled from Leyline Path 1</t>
  </si>
  <si>
    <t>LEYLINE PATH — ADDITIONAL</t>
  </si>
  <si>
    <t>Choose from Leyline Path talents</t>
  </si>
  <si>
    <t>LEVEL-UP TALENTS</t>
  </si>
  <si>
    <t>Talent 1</t>
  </si>
  <si>
    <t>Talent 2</t>
  </si>
  <si>
    <t>Lv 2</t>
  </si>
  <si>
    <t>Lv 3</t>
  </si>
  <si>
    <t>Lv 4</t>
  </si>
  <si>
    <t>Lv 5</t>
  </si>
  <si>
    <t>Lv 6</t>
  </si>
  <si>
    <t>Lv6 Bonus</t>
  </si>
  <si>
    <t>Lv 7</t>
  </si>
  <si>
    <t>Lv 8</t>
  </si>
  <si>
    <t>Lv 9</t>
  </si>
  <si>
    <t>Lv 10</t>
  </si>
  <si>
    <t>Lv 11</t>
  </si>
  <si>
    <t>Lv11 Bonus</t>
  </si>
  <si>
    <t>Lv 12</t>
  </si>
  <si>
    <t>Lv 13</t>
  </si>
  <si>
    <t>Lv 14</t>
  </si>
  <si>
    <t>Lv 15</t>
  </si>
  <si>
    <t>Lv 16</t>
  </si>
  <si>
    <t>Lv16 Bonus</t>
  </si>
  <si>
    <t>Lv 17</t>
  </si>
  <si>
    <t>Lv 18</t>
  </si>
  <si>
    <t>Lv 19</t>
  </si>
  <si>
    <t>Lv 20</t>
  </si>
  <si>
    <t>STEP 5: EXPERTISES</t>
  </si>
  <si>
    <t>Specialized knowledge areas.</t>
  </si>
  <si>
    <t>Expertise 1</t>
  </si>
  <si>
    <t>Source</t>
  </si>
  <si>
    <t>Expertise 2</t>
  </si>
  <si>
    <t>Expertise 3</t>
  </si>
  <si>
    <t>Expertise 4</t>
  </si>
  <si>
    <t>Expertise 5</t>
  </si>
  <si>
    <t>Expertise 6</t>
  </si>
  <si>
    <t>EDHA REFERENCE TABLES</t>
  </si>
  <si>
    <t>LEVEL PROGRESSION</t>
  </si>
  <si>
    <t>Max Skill</t>
  </si>
  <si>
    <t>Attr Pts</t>
  </si>
  <si>
    <t>Talent Pts</t>
  </si>
  <si>
    <t>HP Gain</t>
  </si>
  <si>
    <t>Cumul HP (S=0)</t>
  </si>
  <si>
    <t>10+STR</t>
  </si>
  <si>
    <t>+5</t>
  </si>
  <si>
    <t>4+STR</t>
  </si>
  <si>
    <t>3+STR</t>
  </si>
  <si>
    <t>2+STR</t>
  </si>
  <si>
    <t>SKILLS &amp; ATTRIBUTES</t>
  </si>
  <si>
    <t>PATH → ATTR#</t>
  </si>
  <si>
    <t>Attr</t>
  </si>
  <si>
    <t>#</t>
  </si>
  <si>
    <t>Path</t>
  </si>
  <si>
    <t>Idx</t>
  </si>
  <si>
    <t>Agility</t>
  </si>
  <si>
    <t>SPD</t>
  </si>
  <si>
    <t>Black</t>
  </si>
  <si>
    <t>Athletics</t>
  </si>
  <si>
    <t>STR</t>
  </si>
  <si>
    <t>Blue</t>
  </si>
  <si>
    <t>Heavy Weaponry</t>
  </si>
  <si>
    <t>Chaos</t>
  </si>
  <si>
    <t>Light Weaponry</t>
  </si>
  <si>
    <t>Civilization</t>
  </si>
  <si>
    <t>Stealth</t>
  </si>
  <si>
    <t>Death</t>
  </si>
  <si>
    <t>Thievery</t>
  </si>
  <si>
    <t>Destruction</t>
  </si>
  <si>
    <t>Crafting</t>
  </si>
  <si>
    <t>INT</t>
  </si>
  <si>
    <t>Fate</t>
  </si>
  <si>
    <t>Deduction</t>
  </si>
  <si>
    <t>Green</t>
  </si>
  <si>
    <t>Discipline</t>
  </si>
  <si>
    <t>WIL</t>
  </si>
  <si>
    <t>Knowledge</t>
  </si>
  <si>
    <t>Intimidation</t>
  </si>
  <si>
    <t>Life</t>
  </si>
  <si>
    <t>Lore</t>
  </si>
  <si>
    <t>Order</t>
  </si>
  <si>
    <t>Medicine</t>
  </si>
  <si>
    <t>Power</t>
  </si>
  <si>
    <t>Deception</t>
  </si>
  <si>
    <t>PRE</t>
  </si>
  <si>
    <t>Red</t>
  </si>
  <si>
    <t>Insight</t>
  </si>
  <si>
    <t>AWA</t>
  </si>
  <si>
    <t>Sovereignty</t>
  </si>
  <si>
    <t>Leadership</t>
  </si>
  <si>
    <t>White</t>
  </si>
  <si>
    <t>Perception</t>
  </si>
  <si>
    <t>Persuasion</t>
  </si>
  <si>
    <t>Survival</t>
  </si>
  <si>
    <t>RECOVERY DIE</t>
  </si>
  <si>
    <t>SENSES RANGE</t>
  </si>
  <si>
    <t>d4</t>
  </si>
  <si>
    <t>10 ft</t>
  </si>
  <si>
    <t>15 ft</t>
  </si>
  <si>
    <t>d6</t>
  </si>
  <si>
    <t>20 ft</t>
  </si>
  <si>
    <t>d8</t>
  </si>
  <si>
    <t>25 ft</t>
  </si>
  <si>
    <t>30 ft</t>
  </si>
  <si>
    <t>d10</t>
  </si>
  <si>
    <t>Atlas</t>
  </si>
  <si>
    <t>Prerequisites</t>
  </si>
  <si>
    <t>PrereqOK</t>
  </si>
  <si>
    <t>SkillName</t>
  </si>
  <si>
    <t>SelectedTalents</t>
  </si>
  <si>
    <t>leyline</t>
  </si>
  <si>
    <t>Key</t>
  </si>
  <si>
    <t>White Leyline Attunement</t>
  </si>
  <si>
    <t>∞</t>
  </si>
  <si>
    <t>When you Draw Mana, allies within Attunement Range regain HP equal to your Tier.</t>
  </si>
  <si>
    <t>Coordination</t>
  </si>
  <si>
    <t>Concordant Presence</t>
  </si>
  <si>
    <t>★</t>
  </si>
  <si>
    <t>When an ally within Attunement Range succeeds on a test, the next ally testing that same skill this round rolls the Plot Die.</t>
  </si>
  <si>
    <t>Ordered Preparation</t>
  </si>
  <si>
    <t>When you aid an ally's test, add half [Die] to the result instead of the normal aid bonus.</t>
  </si>
  <si>
    <t>Unity of Purpose</t>
  </si>
  <si>
    <t>When two or more allies aid the same test, increase the aid bonus by 1 and roll the Plot Die.</t>
  </si>
  <si>
    <t>Beacon of Stability</t>
  </si>
  <si>
    <t>Opportunity</t>
  </si>
  <si>
    <t>White 2+; Ordered Preparation or Unity of Purpose</t>
  </si>
  <si>
    <t>When you Draw Mana, spend Opportunity to remove one condition from an ally within Attunement Range.</t>
  </si>
  <si>
    <t>Shared Conviction</t>
  </si>
  <si>
    <t>⟲</t>
  </si>
  <si>
    <t>1 Focus</t>
  </si>
  <si>
    <t>When an ally within Attunement Range fails a test, add half [Die] to their result. This may change the outcome.</t>
  </si>
  <si>
    <t>Ordered Advance</t>
  </si>
  <si>
    <t>When you Move, up to Tier allies within 10 ft may move half their Speed without provoking Reactions.</t>
  </si>
  <si>
    <t>Mending Aura</t>
  </si>
  <si>
    <t>White 2+; Ordered Advance or Shared Conviction</t>
  </si>
  <si>
    <t>When you Draw Mana, spend Opportunity to restore half [Die] HP to each ally within [Size].</t>
  </si>
  <si>
    <t>Pillar of Order</t>
  </si>
  <si>
    <t>Mending Aura; White 3+</t>
  </si>
  <si>
    <t>When an ally within Attunement Range rolls a Complication, change it to a blank face. Once per round.</t>
  </si>
  <si>
    <t>Bulwark</t>
  </si>
  <si>
    <t>Guardian Stance</t>
  </si>
  <si>
    <t>While an ally is adjacent to you, you both gain +1 Deflect.</t>
  </si>
  <si>
    <t>Interposing Shield</t>
  </si>
  <si>
    <t>1 Investiture</t>
  </si>
  <si>
    <t>When an ally within 10 ft takes damage, move up to 10 ft toward them and reduce that damage by half [Die].</t>
  </si>
  <si>
    <t>Stabilizing Touch</t>
  </si>
  <si>
    <t>▶</t>
  </si>
  <si>
    <t>Touch a creature to restore [Die] HP. If below half HP, restore [Die] + half [Die] instead.</t>
  </si>
  <si>
    <t>Shared Burden</t>
  </si>
  <si>
    <t>Interposing Shield or Stabilizing Touch</t>
  </si>
  <si>
    <t>When an ally adjacent to you takes damage, you may take half that damage in their place. Once per round.</t>
  </si>
  <si>
    <t>Devoted Conduit</t>
  </si>
  <si>
    <t>When an ally within Attunement Range takes damage intended for another creature, reduce that damage by half [Die].</t>
  </si>
  <si>
    <t>Shield Wall</t>
  </si>
  <si>
    <t>When two or more allies are adjacent to each other, attacks against them deal half [Die] less damage.</t>
  </si>
  <si>
    <t>Unbreakable Line</t>
  </si>
  <si>
    <t>White 2+; Shield Wall or Devoted Conduit</t>
  </si>
  <si>
    <t>Once per round, when an ally adjacent to you would drop to 0 HP, they drop to 1 HP instead.</t>
  </si>
  <si>
    <t>Hardy</t>
  </si>
  <si>
    <t>Unbreakable Line; White 3+</t>
  </si>
  <si>
    <t>Gain +1 maximum HP per level, including previous levels.</t>
  </si>
  <si>
    <t>Accord</t>
  </si>
  <si>
    <t>Terms of Accord</t>
  </si>
  <si>
    <t>When you and a willing creature verbally agree on a shared objective, both gain +1 to tests pursuing it for the scene. One active accord per creature.</t>
  </si>
  <si>
    <t>Calming Presence</t>
  </si>
  <si>
    <t>Allies within your Attunement Range gain +1 to defenses against Influence and fear effects.</t>
  </si>
  <si>
    <t>Disciplined Mind</t>
  </si>
  <si>
    <t>You and allies within Attunement Range reduce the Focus cost to resist Influence by 1 (minimum 1).</t>
  </si>
  <si>
    <t>Commanding Presence</t>
  </si>
  <si>
    <t>White 2+; Calming Presence or Disciplined Mind</t>
  </si>
  <si>
    <t>When you succeed on an Influence test, the target also becomes Disoriented until the end of your next turn.</t>
  </si>
  <si>
    <t>Shared Discipline</t>
  </si>
  <si>
    <t>Allies within Attunement Range ignore the first instance of Disoriented each round.</t>
  </si>
  <si>
    <t>Collective Resolve</t>
  </si>
  <si>
    <t>When an ally within Attunement Range succeeds on a test, spend Opportunity to grant them Determined.</t>
  </si>
  <si>
    <t>Unyielding Accord</t>
  </si>
  <si>
    <t>Allies within Attunement Range gain +1 to Cognitive and Spiritual defenses while adjacent to another ally.</t>
  </si>
  <si>
    <t>Voice of Authority</t>
  </si>
  <si>
    <t>White 3+; Collective Resolve or Unyielding Accord</t>
  </si>
  <si>
    <t>When an enemy within Attunement Range targets an ally with a hostile action, impose Disadvantage. Once per round.</t>
  </si>
  <si>
    <t>Blue Leyline Attunement</t>
  </si>
  <si>
    <t>When you Draw Mana, gain Advantage on your next Cognitive test.</t>
  </si>
  <si>
    <t>Foresight</t>
  </si>
  <si>
    <t>Predictive Awareness</t>
  </si>
  <si>
    <t>At the start of each scene, choose one skill. Your first test using that skill gains Advantage.</t>
  </si>
  <si>
    <t>Future Vector</t>
  </si>
  <si>
    <t>When you test against a creature or objective for the first time this scene, also roll the Plot Die.</t>
  </si>
  <si>
    <t>Telepathic Network</t>
  </si>
  <si>
    <t>Calculated Patience</t>
  </si>
  <si>
    <t>Blue 2+; Future Vector or Telepathic Network</t>
  </si>
  <si>
    <t>When you take a Slow turn, your first test that turn gains Advantage.</t>
  </si>
  <si>
    <t>Reactive Analysis</t>
  </si>
  <si>
    <t>When a creature within Attunement Range fails a test, gain Advantage on your next test against it.</t>
  </si>
  <si>
    <t>Probable Outcome</t>
  </si>
  <si>
    <t>After all creatures choose Fast or Slow turn, you may change your choice.</t>
  </si>
  <si>
    <t>Foretold Conclusion</t>
  </si>
  <si>
    <t>Probable Outcome; Blue 2+</t>
  </si>
  <si>
    <t>When you roll the Plot Die, spend 1 Focus to reroll it and keep either result.</t>
  </si>
  <si>
    <t>Collected</t>
  </si>
  <si>
    <t>Foretold Conclusion; Blue 3+</t>
  </si>
  <si>
    <t>Increase your Cognitive and Spiritual Defenses by 2.</t>
  </si>
  <si>
    <t>Illusion</t>
  </si>
  <si>
    <t>Inertial Sense</t>
  </si>
  <si>
    <t>You ignore Disadvantage on tests caused by movement. After moving 10+ ft, add half [Die] to your next Physical test.</t>
  </si>
  <si>
    <t>Redirect Momentum</t>
  </si>
  <si>
    <t>Velocity Shift</t>
  </si>
  <si>
    <t>Phantom Barricade</t>
  </si>
  <si>
    <t>2 Investiture</t>
  </si>
  <si>
    <t>Spatial Lock</t>
  </si>
  <si>
    <t>Test Blue Leyline vs. Cognitive Defense. On success, target's Speed becomes 0 until end of your next turn.</t>
  </si>
  <si>
    <t>Kinetic Rebound</t>
  </si>
  <si>
    <t>When a creature within Attunement Range is pushed or moved involuntarily, it takes half [Die] Impact damage.</t>
  </si>
  <si>
    <t>Absolute Stillness</t>
  </si>
  <si>
    <t>Kinetic Rebound; Blue 3+</t>
  </si>
  <si>
    <t>Creatures you have reduced to 0 Speed also suffer Disadvantage on Physical tests and cannot take Reactions.</t>
  </si>
  <si>
    <t>Calculation</t>
  </si>
  <si>
    <t>Subtle Suggestion</t>
  </si>
  <si>
    <t>Fractured Attention</t>
  </si>
  <si>
    <t>When you succeed on a Cognitive test against a creature, its next test this round suffers Disadvantage.</t>
  </si>
  <si>
    <t>Composed</t>
  </si>
  <si>
    <t>Increase your maximum Focus by your Tier.</t>
  </si>
  <si>
    <t>Predictive Thread</t>
  </si>
  <si>
    <t>Blue 2+; Fractured Attention or Composed</t>
  </si>
  <si>
    <t>Once per round, when a creature within Attunement Range rolls the Plot Die, force a reroll. The new result stands.</t>
  </si>
  <si>
    <t>Calculated Delay</t>
  </si>
  <si>
    <t>Choose a creature within Attunement Range. It must declare its next action. If it changes that action, it suffers Disadvantage.</t>
  </si>
  <si>
    <t>False Premise</t>
  </si>
  <si>
    <t>When a creature within Attunement Range succeeds on a Cognitive test, impose Disadvantage on its next test. Once per round.</t>
  </si>
  <si>
    <t>Probability Cascade</t>
  </si>
  <si>
    <t>Calculated Delay or False Premise</t>
  </si>
  <si>
    <t>When you impose Disadvantage on a creature, spend Opportunity to extend it to that creature's next two tests instead of one.</t>
  </si>
  <si>
    <t>Baleful</t>
  </si>
  <si>
    <t>Probability Cascade; Blue 3+</t>
  </si>
  <si>
    <t>To resist your Influence, a creature must spend additional Focus equal to your Tier.</t>
  </si>
  <si>
    <t>Black Leyline Attunement</t>
  </si>
  <si>
    <t>When you Draw Mana, enemies within Attunement Range with no allied creature within 10 ft become Weakened.</t>
  </si>
  <si>
    <t>Isolation</t>
  </si>
  <si>
    <t>Sapping Hex</t>
  </si>
  <si>
    <t>Spoils of Isolation</t>
  </si>
  <si>
    <t>At the start of your turn, gain Temporary HP equal to the number of Weakened enemies within Attunement Range.</t>
  </si>
  <si>
    <t>Severance</t>
  </si>
  <si>
    <t>Spoils of Isolation or Sapping Hex</t>
  </si>
  <si>
    <t>When you succeed on a test against an isolated creature, it cannot benefit from Assists until end of your next turn.</t>
  </si>
  <si>
    <t>Cruel Step</t>
  </si>
  <si>
    <t>◇</t>
  </si>
  <si>
    <t>Severance; Black 2+</t>
  </si>
  <si>
    <t>Solitude's Toll</t>
  </si>
  <si>
    <t>When a Weakened enemy within Attunement Range fails a test, it loses 1 Focus.</t>
  </si>
  <si>
    <t>Dread Presence</t>
  </si>
  <si>
    <t>Weakened creatures within Attunement Range suffer Disadvantage on tests to resist your Influence.</t>
  </si>
  <si>
    <t>Sovereign of Solitude</t>
  </si>
  <si>
    <t>Dread Presence; Black 3+</t>
  </si>
  <si>
    <t>Ritual</t>
  </si>
  <si>
    <t>Blood Price</t>
  </si>
  <si>
    <t>Withering Ray</t>
  </si>
  <si>
    <t>Lose HP = half [Die]</t>
  </si>
  <si>
    <t>Necrotic Grasp</t>
  </si>
  <si>
    <t>Dark Investiture</t>
  </si>
  <si>
    <t>1 Investiture + Lose HP = Tier</t>
  </si>
  <si>
    <t>Sanguine Reservoir</t>
  </si>
  <si>
    <t>▶▶</t>
  </si>
  <si>
    <t>Necrotic Grasp or Sanguine Reservoir</t>
  </si>
  <si>
    <t>Predator's Due</t>
  </si>
  <si>
    <t>When you reduce a creature to 0 HP, regain HP equal to [Die] and 1 Investiture.</t>
  </si>
  <si>
    <t>Subjugation</t>
  </si>
  <si>
    <t>Mental Trespass</t>
  </si>
  <si>
    <t>When you succeed on an Influence test, learn the target's current Focus total.</t>
  </si>
  <si>
    <t>Coercive Pressure</t>
  </si>
  <si>
    <t>When a creature within Attunement Range loses Focus, it suffers Disadvantage on its next Cognitive test.</t>
  </si>
  <si>
    <t>Predatory Insight</t>
  </si>
  <si>
    <t>Gain Advantage on Influence tests against creatures with fewer Focus than you. Regain 1 Focus when any creature reaches 0 Focus.</t>
  </si>
  <si>
    <t>Extract Thought</t>
  </si>
  <si>
    <t>Coercive Pressure or Predatory Insight</t>
  </si>
  <si>
    <t>When you succeed on an Influence test, the target cannot take Reactions until the end of your next turn.</t>
  </si>
  <si>
    <t>Whispered Doubt</t>
  </si>
  <si>
    <t>Extract Thought; Black 2+</t>
  </si>
  <si>
    <t>When a creature within Attunement Range spends Focus, it spends 1 additional Focus. Once per round.</t>
  </si>
  <si>
    <t>Hollow Command</t>
  </si>
  <si>
    <t>Test Influence vs. Spiritual Defense. On success, the target cannot take actions on its next turn but retains its Reaction.</t>
  </si>
  <si>
    <t>Puppeteer</t>
  </si>
  <si>
    <t>2 Focus</t>
  </si>
  <si>
    <t>Red Leyline Attunement</t>
  </si>
  <si>
    <t>When you Draw Mana, gain Advantage on your next Physical test. Lose your Reaction until the start of your next turn.</t>
  </si>
  <si>
    <t>Momentum</t>
  </si>
  <si>
    <t>Burning Drive</t>
  </si>
  <si>
    <t>On a Fast turn, add half [Die] to your first Physical test.</t>
  </si>
  <si>
    <t>Reckless Advance</t>
  </si>
  <si>
    <t>Move up to [Size] ft toward a creature or objective without provoking Reactions. Once per turn.</t>
  </si>
  <si>
    <t>Volatile Strike</t>
  </si>
  <si>
    <t>When you hit with a melee attack, add half [Die] Impact damage. Lose HP equal to half [Die] to add [Die] instead.</t>
  </si>
  <si>
    <t>Escalating Fury</t>
  </si>
  <si>
    <t>Red 2+; Reckless Advance or Volatile Strike</t>
  </si>
  <si>
    <t>Each time you take damage, gain +1 to your next test (maximum bonus equal to Rank). Resets after use.</t>
  </si>
  <si>
    <t>Shockwave Slam</t>
  </si>
  <si>
    <t>When you hit with a melee Physical test, push the target up to [Size] ft. Collision with an obstacle deals half [Die] Impact.</t>
  </si>
  <si>
    <t>Explosive Leap</t>
  </si>
  <si>
    <t>Move up to [Size] ft without provoking Reactions. Creatures within 5 ft of where you land test Physical or fall Prone.</t>
  </si>
  <si>
    <t>Reckless Momentum</t>
  </si>
  <si>
    <t>Shockwave Slam or Explosive Leap</t>
  </si>
  <si>
    <t>When you succeed on a Physical test, spend Opportunity to roll the Plot Die on your next test this turn.</t>
  </si>
  <si>
    <t>Unstoppable</t>
  </si>
  <si>
    <t>Reckless Momentum; Red 3+</t>
  </si>
  <si>
    <t>When you deal damage on a Fast turn, move up to half your Speed without provoking Reactions. Once per turn.</t>
  </si>
  <si>
    <t>Conflagration</t>
  </si>
  <si>
    <t>Kindle</t>
  </si>
  <si>
    <t>Your Red Conflagration talents deal +1 Energy damage. Creatures you deal Energy damage to shed light in 5 ft and lose concealment benefits until end of your next turn.</t>
  </si>
  <si>
    <t>Searing Bolt</t>
  </si>
  <si>
    <t>Ranged attack within Attunement Range dealing [Die] Energy damage. If target is already shedding light from Kindle, deal additional half [Die].</t>
  </si>
  <si>
    <t>Flame Surge</t>
  </si>
  <si>
    <t>Each creature within [Size] of a point in Attunement Range tests Physical. On failure, take [Die] Energy damage.</t>
  </si>
  <si>
    <t>Arc Flash</t>
  </si>
  <si>
    <t>Searing Bolt; Red 2+</t>
  </si>
  <si>
    <t>When you deal Energy damage to a creature, a bolt arcs to one other creature within 10 ft, dealing half [Die] Energy damage. Once per round.</t>
  </si>
  <si>
    <t>Backblast</t>
  </si>
  <si>
    <t>Arc Flash or Flame Surge</t>
  </si>
  <si>
    <t>When a creature hits you with a melee attack, deal half [Die] Energy damage to it.</t>
  </si>
  <si>
    <t>Mighty</t>
  </si>
  <si>
    <t>When you hit with a weapon or unarmed attack, for each action spent, deal extra damage equal to 1 + your Tier.</t>
  </si>
  <si>
    <t>Afterburn</t>
  </si>
  <si>
    <t>Mighty; Red 2+</t>
  </si>
  <si>
    <t>When you deal Energy damage with a Red Conflagration talent, spend Opportunity to inflict Afflicted[half [Die] Energy] on the target.</t>
  </si>
  <si>
    <t>Chain Detonation</t>
  </si>
  <si>
    <t>Afterburn; Red 3+</t>
  </si>
  <si>
    <t>When you reduce a creature to 0 HP with a Red Conflagration talent, deal half [Die] Energy damage to each creature within 5 ft.</t>
  </si>
  <si>
    <t>Frenzy</t>
  </si>
  <si>
    <t>Incite</t>
  </si>
  <si>
    <t>Test Influence vs. Spiritual Defense on a creature in Attunement Range. On success, it must Strike the nearest creature or lose its Reaction.</t>
  </si>
  <si>
    <t>Emotional Overload</t>
  </si>
  <si>
    <t>When a creature within Attunement Range gains Advantage from any source, it suffers Disadvantage on its next non-attack test.</t>
  </si>
  <si>
    <t>Battle Fever</t>
  </si>
  <si>
    <t>Each time damage is dealt within Attunement Range, you and allies gain +1 to your next test (max = Rank). Resets at start of your turn.</t>
  </si>
  <si>
    <t>Shatter Focus</t>
  </si>
  <si>
    <t>Red 2+; Emotional Overload or Battle Fever</t>
  </si>
  <si>
    <t>When a creature within Attunement Range fails a test, it loses 1 Focus. Once per round.</t>
  </si>
  <si>
    <t>Reckless Gambit</t>
  </si>
  <si>
    <t>When a creature within Attunement Range takes damage, spend Opportunity to grant it Advantage on its next test. It then suffers Exhausted[2].</t>
  </si>
  <si>
    <t>Contagious Fury</t>
  </si>
  <si>
    <t>When you succeed on an Influence test that forces a creature to act, the next creature to attack that target rolls the Plot Die.</t>
  </si>
  <si>
    <t>Frenzied Tempo</t>
  </si>
  <si>
    <t>Reckless Gambit or Contagious Fury</t>
  </si>
  <si>
    <t>When you take a Fast turn, your Influence tests gain Advantage until end of turn.</t>
  </si>
  <si>
    <t>Tyrant's Crescendo</t>
  </si>
  <si>
    <t>Frenzied Tempo; Red 3+</t>
  </si>
  <si>
    <t>When a creature within Attunement Range takes damage for the second time in a round, it becomes Disoriented.</t>
  </si>
  <si>
    <t>Green Leyline Attunement</t>
  </si>
  <si>
    <t>When you Draw Mana, create difficult terrain within [Size] of a point in Attunement Range.</t>
  </si>
  <si>
    <t>Territory</t>
  </si>
  <si>
    <t>Primal Awareness</t>
  </si>
  <si>
    <t>You can't be Surprised on natural terrain. Gain Advantage on Perception tests to detect or track creatures.</t>
  </si>
  <si>
    <t>Grasping Vines</t>
  </si>
  <si>
    <t>When you hit a creature in your difficult terrain with a Physical test, it is also Restrained until end of your next turn.</t>
  </si>
  <si>
    <t>Territorial Instinct</t>
  </si>
  <si>
    <t>When an enemy in your Attunement Range tries to Disengage, spend Opportunity to reduce its movement to 0 this turn.</t>
  </si>
  <si>
    <t>Thorn Field</t>
  </si>
  <si>
    <t>Grasping Vines or Territorial Instinct</t>
  </si>
  <si>
    <t>Your difficult terrain deals half [Die] Keen damage to creatures that enter it or start their turn in it.</t>
  </si>
  <si>
    <t>Verdant Resilience</t>
  </si>
  <si>
    <t>Thorn Field; Green 2+</t>
  </si>
  <si>
    <t>At the start of your turn, if you didn't move on your last turn, regain HP equal to your Tier.</t>
  </si>
  <si>
    <t>Territorial Claim</t>
  </si>
  <si>
    <t>When you create difficult terrain, spend Opportunity to prevent creatures in it from willingly moving away until end of your next turn.</t>
  </si>
  <si>
    <t>Pack Sense</t>
  </si>
  <si>
    <t>When an ally tests against a creature in your difficult terrain, they add half [Die] to the result.</t>
  </si>
  <si>
    <t>Apex Predator</t>
  </si>
  <si>
    <t>Pack Sense; Green 3+</t>
  </si>
  <si>
    <t>While three or more enemies are within your Attunement Range, gain Advantage on all Physical and Cognitive tests.</t>
  </si>
  <si>
    <t>Restoration</t>
  </si>
  <si>
    <t>Mender's Instinct</t>
  </si>
  <si>
    <t>When an ally in Attunement Range drops below half HP, you know their condition. Your next healing talent on them heals additional HP equal to Tier.</t>
  </si>
  <si>
    <t>Verdant Mend</t>
  </si>
  <si>
    <t>Touch a willing creature and restore HP equal to [Die] x 2.</t>
  </si>
  <si>
    <t>Root and Branch</t>
  </si>
  <si>
    <t>When two or more enemies end their turn adjacent to each other within Attunement Range, gain Temporary HP equal to Tier.</t>
  </si>
  <si>
    <t>Natural Recovery</t>
  </si>
  <si>
    <t>Verdant Mend or Root and Branch</t>
  </si>
  <si>
    <t>When you restore HP with a Green Restoration talent, also remove one condition: Disoriented, Weakened, or Prone.</t>
  </si>
  <si>
    <t>Natural Recovery; Green 2+</t>
  </si>
  <si>
    <t>Reknit Form</t>
  </si>
  <si>
    <t>1 Investiture; 1 Focus</t>
  </si>
  <si>
    <t>Hardy or Collected</t>
  </si>
  <si>
    <t>Touch a creature to remove one Injury. Shallow: automatic. Vicious: DC 15. Permanent: DC 20.</t>
  </si>
  <si>
    <t>Vital Surge</t>
  </si>
  <si>
    <t>Reknit Form; Green 3+</t>
  </si>
  <si>
    <t>When you restore HP to a creature below half HP, it also gains Temporary HP equal to half [Die].</t>
  </si>
  <si>
    <t>Instinct</t>
  </si>
  <si>
    <t>Predator's Instinct</t>
  </si>
  <si>
    <t>Gain Advantage tracking wounded or Injured creatures. You sense fear in conversation without testing.</t>
  </si>
  <si>
    <t>Pack Hunter</t>
  </si>
  <si>
    <t>When you or an ally moves adjacent to a creature another ally is adjacent to, both gain Advantage on their next test against it.</t>
  </si>
  <si>
    <t>Scent the Weak</t>
  </si>
  <si>
    <t>You know which creature within Attunement Range has the lowest HP. Your first test against it each round gains Advantage.</t>
  </si>
  <si>
    <t>Pack Pressure</t>
  </si>
  <si>
    <t>Green 2+; Pack Hunter or Scent the Weak</t>
  </si>
  <si>
    <t>When you and an ally are both adjacent to a creature, gain Advantage on Physical tests against it and add half [Die] damage.</t>
  </si>
  <si>
    <t>Primal Sight</t>
  </si>
  <si>
    <t>You are immune to magical illusions and concealment within Attunement Range. Automatically detect deceptive Influence targeting you or adjacent allies.</t>
  </si>
  <si>
    <t>Surefooted</t>
  </si>
  <si>
    <t>Increase your Speed by 10 ft. Reduce damage from falls and difficult terrain by half [Die].</t>
  </si>
  <si>
    <t>Packmate's Warning</t>
  </si>
  <si>
    <t>Primal Sight or Surefooted</t>
  </si>
  <si>
    <t>When an ally within 10 ft is targeted by an attack they can't see, grant them +2 to their defense against it.</t>
  </si>
  <si>
    <t>Natural Order</t>
  </si>
  <si>
    <t>Packmate's Warning; Green 3+</t>
  </si>
  <si>
    <t>Enemies within your Attunement Range cannot benefit from illusions, magical concealment, or Advantage gained from deception.</t>
  </si>
  <si>
    <t>deity</t>
  </si>
  <si>
    <t>Death's Threshold</t>
  </si>
  <si>
    <t>Green 2+; Black 2+</t>
  </si>
  <si>
    <t>When you reduce a creature to 0 HP, recover Investiture equal to your Tier. You can sense living creatures within your Attunement Range that are below half their maximum HP.</t>
  </si>
  <si>
    <t>Withering Touch</t>
  </si>
  <si>
    <t>Melee attack. On hit, deal Vital damage equal to [Die] + Willpower. The target cannot regain HP until the start of your next turn.</t>
  </si>
  <si>
    <t>Consuming Decay</t>
  </si>
  <si>
    <t>Choose a creature in Attunement Range that is Weakened or below half HP. It takes Vital damage equal to [Die] at the start of each of its turns for the scene. You heal HP equal to half the Vital damage dealt. One instance per creature.</t>
  </si>
  <si>
    <t>Necrotic Cascade</t>
  </si>
  <si>
    <t>When a creature in your Attunement Range drops to 0 HP, each enemy within 10 ft of it takes Spirit damage equal to [Die]. Triggers automatically after initial activation.</t>
  </si>
  <si>
    <t>Gentle Passage</t>
  </si>
  <si>
    <t>Touch a willing or unconscious creature. Remove one Injury. The creature falls into restful sleep for 1 minute (or until damaged). On waking, it regains HP equal to [Die] + Awareness.</t>
  </si>
  <si>
    <t>Compost</t>
  </si>
  <si>
    <t>Target a dead creature or destroyed object in Attunement Range. Over 1 minute, it decomposes entirely. You and each ally within 15 ft regain HP equal to Tier + [Die]. Lush difficult terrain appears in the space.</t>
  </si>
  <si>
    <t>Natural Conclusion</t>
  </si>
  <si>
    <t>Gentle Passage or Compost</t>
  </si>
  <si>
    <t>Choose a creature in Attunement Range suffering from a disease, curse, or persistent magical effect. End one such effect. If the effect was sustained by another creature's Investiture, that creature takes Spirit damage equal to [Die].</t>
  </si>
  <si>
    <t>Speak with the Fallen</t>
  </si>
  <si>
    <t>Touch the remains of a creature that died within the last 24 hours. Ask up to 3 questions; the spirit answers truthfully but briefly. Each additional use on the same remains within 24 hours costs +2 Investiture.</t>
  </si>
  <si>
    <t>Raise Dead</t>
  </si>
  <si>
    <t>▶▶▶</t>
  </si>
  <si>
    <t>4 Investiture</t>
  </si>
  <si>
    <t>Touch a creature that died within the last hour. It returns to life with 1 HP and one additional Injury. The raised creature acts on your initiative and is Disoriented (Disadvantage on all tests) until end of its next turn. Once per scene.</t>
  </si>
  <si>
    <t>Death Ward</t>
  </si>
  <si>
    <t>Choose a creature in Attunement Range. For the scene, the first time it would drop to 0 HP, it instead drops to 1 HP and gains temporary HP equal to [Die] + Presence. Effect then ends.</t>
  </si>
  <si>
    <t>Chaos Attunement</t>
  </si>
  <si>
    <t>Blue 2+; Black 2+</t>
  </si>
  <si>
    <t>When you activate a Chaos talent, roll a d6. On 5-6, Investiture cost reduced by 1 (min 1). On 1, the effect also targets you or an ally (GM determines how). You sense sustained magical effects within Attunement Range.</t>
  </si>
  <si>
    <t>Unravel</t>
  </si>
  <si>
    <t>Target a creature in Attunement Range benefiting from a magical buff, stance, or sustained ability. Intellect test vs target's Spiritual Defense. On success, end one such effect; target takes Spirit damage equal to [Die].</t>
  </si>
  <si>
    <t>Entropic Field</t>
  </si>
  <si>
    <t>Create a 15 ft radius zone at a point in Attunement Range. For the scene, no creature in the zone can benefit from Advantage, and all sustained magical effects in the zone cost +1 Investiture per turn to maintain.</t>
  </si>
  <si>
    <t>Sever the Pattern</t>
  </si>
  <si>
    <t>When a creature in Attunement Range activates a talent, use Reaction to force a Willpower test vs your Cognitive Defense. On failure, the talent activates but targets a random valid target (including caster's allies).</t>
  </si>
  <si>
    <t>Probability Spike</t>
  </si>
  <si>
    <t>Choose a creature in Attunement Range. Its next test is altered: if the result is even, add [Die]; if odd, subtract [Die]. The creature is unaware until it manifests.</t>
  </si>
  <si>
    <t>Chaos Theory</t>
  </si>
  <si>
    <t>Entropic Field or Sever the Pattern</t>
  </si>
  <si>
    <t>For the remainder of this round, when any creature in Attunement Range rolls a die, you may swap the result with the next die rolled by any creature in range. Usable a number of times equal to your Intellect modifier.</t>
  </si>
  <si>
    <t>Madman's Insight</t>
  </si>
  <si>
    <t>Once per round, when you fail a Cognitive test, reroll it (must accept new result). If the reroll also fails, gain Advantage on your next Physical test as your mind reroutes through instinct.</t>
  </si>
  <si>
    <t>Twist Fate</t>
  </si>
  <si>
    <t>Chaos Theory or Madman's Insight</t>
  </si>
  <si>
    <t>When a creature in Attunement Range makes a test, use Reaction to force a reroll. You choose which result is used. Cannot target the same creature more than once per scene.</t>
  </si>
  <si>
    <t>Reality Stutter</t>
  </si>
  <si>
    <t>Choose a point in Attunement Range. Every creature within 15 ft is teleported to a random unoccupied space within 30 ft. Teleported creatures are Disoriented until end of their next turn. You may exclude yourself.</t>
  </si>
  <si>
    <t>Schrodinger's Gambit</t>
  </si>
  <si>
    <t>Declare two different legal actions. Roll d6: on 1-3 the first occurs, on 4-6 the second. Whichever occurs has one attribute doubled (damage, healing, range, or duration — choose one). Occurs immediately.</t>
  </si>
  <si>
    <t>Lawkeeper's Eye</t>
  </si>
  <si>
    <t>White 2+; Blue 2+</t>
  </si>
  <si>
    <t>Sense lies spoken within Attunement Range (feel dissonance, don't learn truth). Creatures that break a promise or oath in range are Marked (you know their location for 1 hour).</t>
  </si>
  <si>
    <t>Binding Clause</t>
  </si>
  <si>
    <t>Choose a creature in Attunement Range. Declare a prohibited action. Willpower test vs your Cognitive Defense. On failure, the prohibited action costs 2 Focus. Lasts until scene end or creature succeeds Willpower test at start of its turn.</t>
  </si>
  <si>
    <t>Contempt of Court</t>
  </si>
  <si>
    <t>When a creature violates a Binding Clause or breaks a witnessed oath, it takes Spirit damage equal to [Die] x 2 and is Stunned until end of its next turn. Triggers automatically, no Reaction needed.</t>
  </si>
  <si>
    <t>Legal Precedent</t>
  </si>
  <si>
    <t>When you successfully apply Binding Clause, apply the same clause to one additional creature in range as free action (same test required). Your Binding Clauses cannot be dispelled by non-deity magic.</t>
  </si>
  <si>
    <t>Chain of Command</t>
  </si>
  <si>
    <t>Contempt of Court or Legal Precedent</t>
  </si>
  <si>
    <t>Choose up to 3 allies in Attunement Range. For the scene, when you Assist one, all designated creatures gain the benefit. Designated creatures gain +1 to tests when adjacent to another designated creature.</t>
  </si>
  <si>
    <t>Institutional Authority</t>
  </si>
  <si>
    <t>For the scene, allies in Attunement Range that can see you gain +1 to all Defenses. Bonus increases to +2 if also affected by Chain of Command.</t>
  </si>
  <si>
    <t>Collective Discipline</t>
  </si>
  <si>
    <t>When an ally in Attunement Range would fail a Cognitive test, use Reaction: it uses your Willpower modifier instead. Usable Presence times per scene.</t>
  </si>
  <si>
    <t>Sacred Oath</t>
  </si>
  <si>
    <t>Institutional Authority or Collective Discipline</t>
  </si>
  <si>
    <t>You and a willing creature in touch range swear a Sacred Oath (defined at casting). For the scene, both gain +1 to all tests while pursuing the oath's goal. Acting against the oath deals [Die] x 2 Spirit damage and ends it.</t>
  </si>
  <si>
    <t>Divine Judgment</t>
  </si>
  <si>
    <t>3 Investiture</t>
  </si>
  <si>
    <t>Choose a creature in range that has broken an oath, lied to you, or violated a declared law. For the scene: Disadvantage on all tests, -2 Defenses, cannot benefit from magical healing. Ends if creature publicly confesses and accepts your penalty.</t>
  </si>
  <si>
    <t>Unbreakable Pact</t>
  </si>
  <si>
    <t>Upgrade an existing Sacred Oath. Both oath-sworn share telepathic link, can spend each other's Investiture (with permission). When one drops to 0 HP, the other takes a free turn. Cannot be broken except by mutual consent.</t>
  </si>
  <si>
    <t>Pulse of Life</t>
  </si>
  <si>
    <t>Green 2+; Blue 2+</t>
  </si>
  <si>
    <t>When you heal a creature, it gains temporary HP equal to Tier. You can sense current HP and Injury status of any creature within Attunement Range.</t>
  </si>
  <si>
    <t>Surgical Precision</t>
  </si>
  <si>
    <t>Touch a creature. Intellect test (DC 15). On success, heal [Die] x 2 and remove one condition (Weakened, Disoriented, or Slowed). On failure, heal [Die] only. May self-target.</t>
  </si>
  <si>
    <t>Vital Diagram</t>
  </si>
  <si>
    <t>Choose a creature in Attunement Range. For the scene, know its exact HP, max HP, conditions, and Physical/Spiritual Defenses. You and allies attacking it deal bonus Vital damage equal to your Intellect.</t>
  </si>
  <si>
    <t>Overgrowth</t>
  </si>
  <si>
    <t>Surgical Precision or Vital Diagram</t>
  </si>
  <si>
    <t>Choose a creature in Attunement Range. It regains [Die] + Awareness HP and grows natural armor (+1 Deflect until end of scene, stacks to 3). If at full HP, excess becomes temporary HP.</t>
  </si>
  <si>
    <t>Immunological Purge</t>
  </si>
  <si>
    <t>Touch a creature with disease, poison, or parasitic effect. End all such effects. For the scene, the creature is immune to further applications of those specific effects.</t>
  </si>
  <si>
    <t>Adaptive Mutation</t>
  </si>
  <si>
    <t>Touch a willing creature. Choose one biological adaptation: Bone Spurs (melee attacks deal additional Keen damage equal to Tier), Venom Glands (melee hits inflict Afflicted[half [Die] Vital]), or Dense Tissue (+2 Deflect and immune to forced movement). Scene duration. One mutation per creature. Dismiss and reapply as full action.</t>
  </si>
  <si>
    <t>Primal Regeneration</t>
  </si>
  <si>
    <t>Immunological Purge or Adaptive Mutation</t>
  </si>
  <si>
    <t>Touch a willing creature. For the scene, at start of each turn it regains Tier + 1 HP. Regeneration ends if it takes Vital or Spirit damage. Also regrows missing limbs/organs over 1 hour.</t>
  </si>
  <si>
    <t>Forced Evolution</t>
  </si>
  <si>
    <t>Touch a willing creature. For the scene: max HP increases by [Die], +1 Strength, +1 Speed, and natural/unarmed attacks deal Vital damage equal to Tier. When effect ends, creature takes an Injury.</t>
  </si>
  <si>
    <t>Champion of Life</t>
  </si>
  <si>
    <t>Touch a willing creature (may be self). For scene: regenerate [Die] HP per turn, immune to disease and poison, natural attacks deal bonus Energy damage equal to Tier. Whenever you heal a creature within reach, you may make a free unarmed strike against an enemy within reach. When effect ends, target takes an Injury.</t>
  </si>
  <si>
    <t>Lifeline</t>
  </si>
  <si>
    <t>Choose a creature in Attunement Range. For the scene, when it takes damage, you may take up to half instead (Spirit damage, bypasses Deflect). When you take damage this way, target heals HP equal to Tier.</t>
  </si>
  <si>
    <t>Sovereign's Mandate</t>
  </si>
  <si>
    <t>Black 2+; White 2+</t>
  </si>
  <si>
    <t>Sovereign's Awareness</t>
  </si>
  <si>
    <t>Scene: sense all creatures within Attunement Range. Know their relative HP (full / above half / below half / critical), active conditions, and whether they are sustained by magical effects. You cannot be deceived about a creature's status while this is active.</t>
  </si>
  <si>
    <t>Blight</t>
  </si>
  <si>
    <t>Edict of Decline</t>
  </si>
  <si>
    <t>Sovereign's Awareness or Blight</t>
  </si>
  <si>
    <t>Choose a creature in Attunement Range. Scene: it cannot benefit from buffs, temporary HP, or positive stat modifications from external sources. It can still heal and use its own talents normally. Target may Willpower test vs your Cognitive Defense at start of each turn to end the effect.</t>
  </si>
  <si>
    <t>Decree</t>
  </si>
  <si>
    <t>Equilibrium</t>
  </si>
  <si>
    <t>Choose two creatures in Attunement Range. Average their current HP totals (round down). Both are set to the new total. Cannot reduce below 1 HP or raise above maximum. One creature must be willing or unconscious.</t>
  </si>
  <si>
    <t>Sovereign's Investiture</t>
  </si>
  <si>
    <t>Touch a willing creature. Scene: it gains +2 to all tests. When the effect ends, the creature is Exhausted[4] and takes an Injury.</t>
  </si>
  <si>
    <t>Seal of Exile</t>
  </si>
  <si>
    <t>Choose up to 3 creatures in Attunement Range. Scene, choose one: Imprisonment (targets cannot leave your Decree area voluntarily; if forced out, must return next action) or Banishment (targets cannot enter your Decree area voluntarily; if forced in, must leave next action). Requires active Decree.</t>
  </si>
  <si>
    <t>Final Judgment</t>
  </si>
  <si>
    <t>Sovereign's Investiture or Seal of Exile</t>
  </si>
  <si>
    <t>Red 2+; Green 2+</t>
  </si>
  <si>
    <t>The first time each scene you attempt something you've never done before (GM discretion), gain Advantage. You can sense when a creature or object in Attunement Range is concealing information.</t>
  </si>
  <si>
    <t>Pattern Recognition</t>
  </si>
  <si>
    <t>After observing a creature for 1 round, learn one (your choice): highest stat, most damaging attack, or one vulnerability/resistance. Each subsequent round reveals an additional fact.</t>
  </si>
  <si>
    <t>Predator's Taxonomy</t>
  </si>
  <si>
    <t>After using Pattern Recognition on a creature, for the scene: you and allies in Attunement Range gain +1 to attacks vs that creature. First hit each round deals bonus damage equal to Awareness.</t>
  </si>
  <si>
    <t>Environmental Reading</t>
  </si>
  <si>
    <t>Sense ecological history of current location. Learn: creatures that passed through in last 24 hours, environmental hazards within 120 ft, hidden passages/traps/buried objects within 60 ft.</t>
  </si>
  <si>
    <t>Reckless Experiment</t>
  </si>
  <si>
    <t>Environmental Reading or Pattern Recognition</t>
  </si>
  <si>
    <t>Declare a hypothesis about a creature/situation. Act to test it. If correct, Advantage on all related tests for the scene. If wrong, take [Die] damage but learn the correct answer.</t>
  </si>
  <si>
    <t>Trial and Error</t>
  </si>
  <si>
    <t>When you fail a test, gain cumulative +1 to that type of test for the scene (max +3). Bonus resets on success.</t>
  </si>
  <si>
    <t>Passionate Breakthrough</t>
  </si>
  <si>
    <t>Once per scene, on a critical hit or critical success: regain 2 Investiture, Advantage on next two tests, and learn one secret about the target or situation (GM provides significant hidden information).</t>
  </si>
  <si>
    <t>Shared Revelation</t>
  </si>
  <si>
    <t>Passionate Breakthrough or Trial and Error</t>
  </si>
  <si>
    <t>Share something learned through Pattern Recognition, Reckless Experiment, or similar. Up to 3 allies in Attunement Range gain the same knowledge and associated mechanical benefits for the scene.</t>
  </si>
  <si>
    <t>The Eureka Moment</t>
  </si>
  <si>
    <t>Scene: whenever you or an ally in Attunement Range learns new information (talents, tests, observation), all allies in range heal 1 HP and gain +1 to next test.</t>
  </si>
  <si>
    <t>Forbidden Knowledge</t>
  </si>
  <si>
    <t>Ask the GM one question about the current scene, encounter, or creature. The GM must answer truthfully and completely. You take Spirit damage equal to [Die] (cannot be reduced or prevented). Knowledge is permanent.</t>
  </si>
  <si>
    <t>Thread Sight</t>
  </si>
  <si>
    <t>White 2+; Green 2+</t>
  </si>
  <si>
    <t>At the start of each scene, the GM privately tells you one true statement about what will happen during this scene (vague but accurate). You cannot be Surprised.</t>
  </si>
  <si>
    <t>Read the Threads</t>
  </si>
  <si>
    <t>Choose a creature in Attunement Range. Glimpse its immediate future: know what action it intends next turn. Gain +2 to Defenses against that creature until end of your next turn.</t>
  </si>
  <si>
    <t>Inevitable Outcome</t>
  </si>
  <si>
    <t>After you or an ally in Attunement Range makes a test (before GM announces result), declare success. Costs 1 Focus in addition to Investiture. Once per scene.</t>
  </si>
  <si>
    <t>Prescient Dodge</t>
  </si>
  <si>
    <t>When hit by a creature you've used Read the Threads on, spend 1 Investiture to reduce damage by [Die] + Awareness. If reduced to 0, move 5 ft without provoking.</t>
  </si>
  <si>
    <t>Prophecy of Order</t>
  </si>
  <si>
    <t>Inevitable Outcome or Prescient Dodge</t>
  </si>
  <si>
    <t>Declare a prediction about the scene. If it comes true, all allies who heard it gain Advantage on next test and heal Tier HP. If it fails, you lose 1 Focus.</t>
  </si>
  <si>
    <t>Ordained Formation</t>
  </si>
  <si>
    <t>Designate up to 4 specific spaces in Attunement Range. Allies in those positions gain +1 to all Defenses and +1 to attack tests. Lasts for scene or until ally moves away.</t>
  </si>
  <si>
    <t>Fate's Shield</t>
  </si>
  <si>
    <t>Choose an ally in Attunement Range. Next time it takes damage this scene, reduce by [Die] + Presence. If source was predicted by Thread Sight, reduce by additional [Die].</t>
  </si>
  <si>
    <t>Weave the Thread</t>
  </si>
  <si>
    <t>Ordained Formation or Fate's Shield</t>
  </si>
  <si>
    <t>Choose two willing creatures in Attunement Range. Fates linked for scene: when one takes damage, other may take up to half instead. When one is healed, other heals half the amount.</t>
  </si>
  <si>
    <t>Rewrite Fate</t>
  </si>
  <si>
    <t>Once this scene, after any die roll by any creature in Attunement Range, replace the result with any value from 1 to die maximum. The roller is unaware fate intervened.</t>
  </si>
  <si>
    <t>Thread of Inevitability</t>
  </si>
  <si>
    <t>Choose a creature in Attunement Range. Declare one thing that WILL happen to it this scene. The first time it could naturally occur, it automatically succeeds (no test). Wasted if it never naturally occurs.</t>
  </si>
  <si>
    <t>Builder's Oath</t>
  </si>
  <si>
    <t>Red 2+; White 2+</t>
  </si>
  <si>
    <t>Repair mundane objects by touch (1 min per repair). Deal double damage to structures and constructs. Allies in Attunement Range gain +1 HP when completing a short rest. Spend 10 minutes and 1 Investiture to create a Basic Construct (HP = Tier x 2, Speed 20 ft, no attacks, follows simple verbal commands, noncombat).</t>
  </si>
  <si>
    <t>Forge Servant</t>
  </si>
  <si>
    <t>Create a Combat Construct within touch range. It acts on your initiative after your turn, following verbal commands. One at a time (see Expanded Workshop). Stats: HP = [Die] + Strength x 2, Deflect = Tier, Speed 20 ft, Attack = 1 melee/turn dealing [Die] Impact, Defenses = yours minus 2. Immune to Influence, fear, disease, poison. Cannot heal naturally. No Focus or Investiture.</t>
  </si>
  <si>
    <t>Emergency Repairs</t>
  </si>
  <si>
    <t>Touch an object, weapon, armor, or Construct — fully repaired. If used on a Construct, restore [Die] + Tier HP. If the Construct has a Specialized Design role, restore its role ability if disabled. Alternatively, create a temporary mundane weapon or tool from materials (1 hour).</t>
  </si>
  <si>
    <t>Tempered Edge</t>
  </si>
  <si>
    <t>Touch a weapon (yours, an ally's, or a Construct's). For scene, deals bonus Energy damage equal to Tier and counts as magical. Crits deal additional [Die] Energy.</t>
  </si>
  <si>
    <t>Expanded Workshop</t>
  </si>
  <si>
    <t>Emergency Repairs or Tempered Edge</t>
  </si>
  <si>
    <t>You can maintain up to Tier Combat Constructs simultaneously. Each Construct beyond the first has half the base HP. All Constructs share your initiative and act in any order after your turn.</t>
  </si>
  <si>
    <t>Specialized Design</t>
  </si>
  <si>
    <t>Assign a Construct a specialization: Sentinel (+Tier Deflect, may intercept attacks on adjacent allies), Striker (attacks deal additional [Die] damage, +10 ft Speed), or Hauler (double base HP, can grapple using your Strength test, provides cover to adjacent allies). Role lasts until reassigned.</t>
  </si>
  <si>
    <t>Hearthfire</t>
  </si>
  <si>
    <t>Create a Hearthfire at a point in touch range. Scene: allies within 15 ft gain +1 to Willpower tests. Adjacent allies may spend 1 Action to regain [Die] HP. Constructs adjacent to Hearthfire regain Tier HP at start of your turn. Extinguished by 10+ Energy damage.</t>
  </si>
  <si>
    <t>Bonds of Community</t>
  </si>
  <si>
    <t>Scene: allies and Constructs in Attunement Range are citizens. Citizens use Help at 30 ft range. When a citizen drops to 0 HP or a Construct is destroyed, all other citizens gain Tier temporary HP and Advantage on next test.</t>
  </si>
  <si>
    <t>Trade Routes</t>
  </si>
  <si>
    <t>Establish a route between two points in Attunement Range (max 60 ft apart). Scene: allies and Constructs teleport between points as free action once per turn. Items passed instantaneously.</t>
  </si>
  <si>
    <t>Master Artificer</t>
  </si>
  <si>
    <t>Bonds of Community or Trade Routes</t>
  </si>
  <si>
    <t>Scene: your Constructs gain +Tier to attack tests and all Defenses, and +10 ft Speed. You issue commands to all Constructs as free action. Destroyed Constructs may be rebuilt as a single action (still costs Investiture).</t>
  </si>
  <si>
    <t>Will to Power</t>
  </si>
  <si>
    <t>Black 2+; Red 2+</t>
  </si>
  <si>
    <t>When you deal damage and reduce a creature below half max HP for the first time, gain 1 temporary HP per Tier. Gain Advantage on Presence tests to intimidate, command, or lead.</t>
  </si>
  <si>
    <t>Kneel</t>
  </si>
  <si>
    <t>Choose a creature in Attunement Range. Presence test vs Cognitive Defense. On success, target is Compelled (must use next action to move toward you or do nothing) until start of your next turn.</t>
  </si>
  <si>
    <t>Crown of Thorns</t>
  </si>
  <si>
    <t>For the scene, whenever a creature in Attunement Range fails a test against your Cognitive Defense, it takes Spirit damage equal to your Presence. This damage cannot be reduced.</t>
  </si>
  <si>
    <t>Absolute Authority</t>
  </si>
  <si>
    <t>Choose a Compelled, Frightened, or Weakened creature in range. Willpower test vs your Spiritual Defense. On failure, you choose its next turn's action (cannot directly self-harm). On success, Weakened until end of its next turn.</t>
  </si>
  <si>
    <t>Momentum of Victory</t>
  </si>
  <si>
    <t>Crown of Thorns or Absolute Authority</t>
  </si>
  <si>
    <t>When you reduce a creature to 0 HP or score a critical hit, immediately move up to 15 ft and make a free melee attack against a different creature in reach. This attack deals bonus damage equal to Tier.</t>
  </si>
  <si>
    <t>Warlord's Fury</t>
  </si>
  <si>
    <t>For the scene, melee attacks deal additional damage equal to the number of creatures you've reduced to 0 HP this scene (max bonus = Tier x 2).</t>
  </si>
  <si>
    <t>Unstoppable Advance</t>
  </si>
  <si>
    <t>Until end of your next turn, you cannot be slowed, immobilized, or knocked prone. You may move through enemy spaces. Each enemy you move through takes Impact damage equal to [Die].</t>
  </si>
  <si>
    <t>Investiture of Command</t>
  </si>
  <si>
    <t>Warlord's Fury or Unstoppable Advance</t>
  </si>
  <si>
    <t>Choose up to 3 allies in Attunement Range. Each gains temporary HP equal to [Die] and Advantage on next attack. You take Spirit damage equal to your Tier (cannot be reduced).</t>
  </si>
  <si>
    <t>Mantle of the Aspirant</t>
  </si>
  <si>
    <t>Scene: +2 to all Defenses, melee attacks deal bonus Spirit damage equal to Tier, allies in Attunement Range gain +1 to all tests. When you take damage, may redirect up to Tier damage to willing allies in range.</t>
  </si>
  <si>
    <t>Usurper's Claim</t>
  </si>
  <si>
    <t>Target a creature in range sustaining a magical effect. Willpower test vs its Spiritual Defense. On success, seize control of that effect for the scene — you choose targets, parameters, and when it ends. Original caster cannot end it.</t>
  </si>
  <si>
    <t>Ruin Sight</t>
  </si>
  <si>
    <t>Blue 2+; Red 2+</t>
  </si>
  <si>
    <t>Identify structural weakness of any object/construct in Attunement Range (1 round study or touch). Attacks vs objects deal double damage. When you damage a creature, learn its Deflect value.</t>
  </si>
  <si>
    <t>Pinpoint Fracture</t>
  </si>
  <si>
    <t>Choose a creature in Attunement Range you've damaged this scene. Your next attack ignores Deflect and deals bonus Keen damage equal to Intellect.</t>
  </si>
  <si>
    <t>Cascading Failure</t>
  </si>
  <si>
    <t>When you damage a creature and reduce it past an HP threshold (full, 3/4, 1/2, 1/4), its Deflect is permanently reduced by 1 for the scene. Stacks.</t>
  </si>
  <si>
    <t>Precision Demolition</t>
  </si>
  <si>
    <t>Pinpoint Fracture or Cascading Failure</t>
  </si>
  <si>
    <t>Choose an object, barrier, or terrain feature in Attunement Range. Destroyed instantly if HP &lt; [Die] x 3. If it survives, takes triple damage from your next attack. Works on magical barriers.</t>
  </si>
  <si>
    <t>Shatter</t>
  </si>
  <si>
    <t>Melee or ranged attack. On hit, deal normal damage plus bonus Energy damage equal to [Die]. Target pushed 10 ft. If target collides with object or creature, both take Impact damage equal to Tier.</t>
  </si>
  <si>
    <t>Detonation Point</t>
  </si>
  <si>
    <t>Choose a point in Attunement Range. 20 ft radius explosion deals Energy damage equal to [Die] x 2. Creatures failing a Speed test are knocked prone. Objects under 20 HP are destroyed.</t>
  </si>
  <si>
    <t>Walking Ruin</t>
  </si>
  <si>
    <t>Shatter or Detonation Point</t>
  </si>
  <si>
    <t>For the scene, spaces you move through become difficult terrain. Creatures starting turns in your trail take Impact damage equal to Tier. You gain +10 ft movement speed.</t>
  </si>
  <si>
    <t>Controlled Demolition</t>
  </si>
  <si>
    <t>Choose a 15 ft area in Attunement Range. Selectively destroy chosen objects/terrain/barriers while leaving others untouched. Chosen creatures take Energy damage equal to [Die]. Excluded creatures are unharmed.</t>
  </si>
  <si>
    <t>The Unmooring</t>
  </si>
  <si>
    <t>Scene: once per turn when you destroy an object/barrier or reduce a creature to 0 HP, choose: an ally within 30 ft heals [Die] HP, OR create 10 ft of clear stable ground (removing hazards/terrain).</t>
  </si>
  <si>
    <t>Fault Line</t>
  </si>
  <si>
    <t>60 ft line, 5 ft wide from you. Creatures in line take Energy damage equal to [Die] + Strength, Speed test or fall prone. Line becomes difficult terrain for the scene. Structures along line take triple damage.</t>
  </si>
  <si>
    <t>heroic</t>
  </si>
  <si>
    <t>Agent</t>
  </si>
  <si>
    <t>Opportunist</t>
  </si>
  <si>
    <t>Once per round, you can reroll your plot die</t>
  </si>
  <si>
    <t>Investigator</t>
  </si>
  <si>
    <t>Watchful Eye</t>
  </si>
  <si>
    <t>Deduction 1+</t>
  </si>
  <si>
    <t>Use Opportunist on the plot die of a willing ally within 20 ft</t>
  </si>
  <si>
    <t>Get 'Em Talking</t>
  </si>
  <si>
    <t>Insight 2+</t>
  </si>
  <si>
    <t>Spend 1 focus to test Deduction vs. Spiritual to learn the target's motivation. During this scene, you can raise the stakes on tests to leverage this motivation</t>
  </si>
  <si>
    <t>Quick Analysis</t>
  </si>
  <si>
    <t>Spend 2 focus to gain ▶▶ for Cognitive tests with Use a Skill, Gain Advantage, or an Agent talent.</t>
  </si>
  <si>
    <t>To resist your influence, a character must spend additional focus equal to your tier.</t>
  </si>
  <si>
    <t>Gather Evidence</t>
  </si>
  <si>
    <t>Quick Analysis; Insight 2+</t>
  </si>
  <si>
    <t>Gain Legal Codes expertise. When you succeed on a cognitive test against a target, you become Focused.</t>
  </si>
  <si>
    <t>Gain +1 max health per level (including previous levels).</t>
  </si>
  <si>
    <t>Sleuth's Instincts</t>
  </si>
  <si>
    <t>Hardy; Deduction 3+</t>
  </si>
  <si>
    <t>Gain an advantage on cognitive tests against characters whose motivation you know. You know when those characters lie to you.</t>
  </si>
  <si>
    <t>Close the Case</t>
  </si>
  <si>
    <t>3 Focus</t>
  </si>
  <si>
    <t>Spend 3 focus to test Deduction vs. Cognitive, gaining an advantage if you know the target's motivation. On failure, the target gains an advantage against you. On success, they back down.</t>
  </si>
  <si>
    <t>Spy</t>
  </si>
  <si>
    <t>Sure Outcome</t>
  </si>
  <si>
    <t>When you use Opportunist, spend 2 focus to change Opportunity to Complication 4, or any Complication to Opportunity.</t>
  </si>
  <si>
    <t>Plausible Excuse</t>
  </si>
  <si>
    <t>Deception 1+</t>
  </si>
  <si>
    <t>Gain Sleight of Hand expertise. When discovered skulking, spend 2 focus to feign innocence.</t>
  </si>
  <si>
    <t>Increase your Cognitive and Spiritual defenses by 2.</t>
  </si>
  <si>
    <t>Cover Story</t>
  </si>
  <si>
    <t>Gain a false identity and a relevant culture expertise.</t>
  </si>
  <si>
    <t>Subtle Taketown</t>
  </si>
  <si>
    <t>Cover Story; Insight 3+</t>
  </si>
  <si>
    <t>Make an unarmed attack with Insight vs. an unsuspecting target's Cognitive, raising the stakes. On a hit, they can't communicate.</t>
  </si>
  <si>
    <t>When you hit with a weapon or unarmed attack, for each action spent, deal extra damage equal to 1 + your tier.</t>
  </si>
  <si>
    <t>Mercurial Façade</t>
  </si>
  <si>
    <t>Subtle Takedown; Deception 3+</t>
  </si>
  <si>
    <t>Disguise yourself using Deception without needing physical supplies. The first character to see through your disguise is Surprised.</t>
  </si>
  <si>
    <t>High Society Contacts</t>
  </si>
  <si>
    <t>Cover Story; [Patron in high society]</t>
  </si>
  <si>
    <t>Gain High Society expertise. Spend 2 focus to add Opportunity to a test to interact in high society.</t>
  </si>
  <si>
    <t>Thief</t>
  </si>
  <si>
    <t>Risky Behavior</t>
  </si>
  <si>
    <t>Spend 1 focus to raise the stakes on your test.</t>
  </si>
  <si>
    <t>Cheap Shot</t>
  </si>
  <si>
    <t>Spend 1 focus to make an unarmed attack with Thievery vs. Cognitive, raising the stakes. On a hit, the target is Stunned.</t>
  </si>
  <si>
    <t>Double Down</t>
  </si>
  <si>
    <t>You can reroll again with Opportunist, but on Complication, you lose 2 focus.</t>
  </si>
  <si>
    <t>Your movement increases by 10. Reduce damage from falling and dangerous terrain by twice your tier.</t>
  </si>
  <si>
    <t>Underworld Contacts</t>
  </si>
  <si>
    <t>Double Down; Patron or follower in criminal underworld</t>
  </si>
  <si>
    <t>Gain Criminal Groups expertise. Spend 2 focus to add Opportunity to a social test against criminals.</t>
  </si>
  <si>
    <t>Shadow Step</t>
  </si>
  <si>
    <t>Surefooted; Thievery 3+</t>
  </si>
  <si>
    <t>After you Disengage, spend 2 focus to test Thievery vs. each enemy's Cognitive to hide from them. You gain an advantage if in cover or obscured.</t>
  </si>
  <si>
    <t>Fast Talker</t>
  </si>
  <si>
    <t>Double Down; Insight 3+</t>
  </si>
  <si>
    <t>Spend 2 focus to gain ▶▶ for Spiritual tests with Use a Skill, Gain Advantage, or an Agent talent.</t>
  </si>
  <si>
    <t>Trickster's Hand</t>
  </si>
  <si>
    <t>Spend 2 focus to gain ▶▶ for Physical tests with Use a Skill, Gain Advantage, or an Agent Talent.</t>
  </si>
  <si>
    <t>Envoy</t>
  </si>
  <si>
    <t>Rousing Presence</t>
  </si>
  <si>
    <t>An ally becomes Determined until end of scene.</t>
  </si>
  <si>
    <t>Diplomat</t>
  </si>
  <si>
    <t>Steadfast Challenge</t>
  </si>
  <si>
    <t>Discipline 1+</t>
  </si>
  <si>
    <t>Spend 1 focus to test Discipline vs. an enemy's Spiritual. On success, they are Disoriented and gain a disadvantage on tests against you.</t>
  </si>
  <si>
    <t>Withering Retort</t>
  </si>
  <si>
    <t>Steadfast Challenge; Discipline 2+</t>
  </si>
  <si>
    <t>Use your Steadfast Challenge before an attack and increase your deflect against the attack by your ranks in Discipline.</t>
  </si>
  <si>
    <t>Well Dressed</t>
  </si>
  <si>
    <t>Gain Fashion expertise. While wearing Presentable armor or fashionable clothing, gain an advantage on your first Deception, Leadership, or Persuasion test.</t>
  </si>
  <si>
    <t>Calm Appeal</t>
  </si>
  <si>
    <t>Withering Retort; Discipline 2+</t>
  </si>
  <si>
    <t>When your Steadfast Challenge makes a target Disoriented, spend 1 focus to pacify them. Resisting your Steadfast Challenge costs additional focus equal to your ranks in Discipline.</t>
  </si>
  <si>
    <t>Well Dressed; [Patron in high society]</t>
  </si>
  <si>
    <t>Peaceful Solution</t>
  </si>
  <si>
    <t>Calm Appeal; Discipline 3+</t>
  </si>
  <si>
    <t>If all non-minion enemies are pacified, you ase tensions and end combat.</t>
  </si>
  <si>
    <t>Practiced Oratory</t>
  </si>
  <si>
    <t>Variable Focus</t>
  </si>
  <si>
    <t>High Society Contacts; Persuasion 3+</t>
  </si>
  <si>
    <t>When you use Rousing Resence or Steadfast Challenge, spend focus up to your ranks in Persuasion to add that many targets.</t>
  </si>
  <si>
    <t>Faithful</t>
  </si>
  <si>
    <t>Customary Garb</t>
  </si>
  <si>
    <t>While wearing Prsentable armor or appropriate clothing, increase your Physical and Spriritual defenses by 2.</t>
  </si>
  <si>
    <t>Galvanzie</t>
  </si>
  <si>
    <t>An ally rolls their recovery die and recovers that much focus.</t>
  </si>
  <si>
    <t>Devoted Presence</t>
  </si>
  <si>
    <t>Customary Garb; Lore 1+</t>
  </si>
  <si>
    <t>When you use Rousing Presence, spend 1 focus to remove Prone, Slowed, Stunned, and Surprised from your target</t>
  </si>
  <si>
    <t>Galvanize</t>
  </si>
  <si>
    <t>Increase your max and current focus by your tier.</t>
  </si>
  <si>
    <t>Stalwart Presence</t>
  </si>
  <si>
    <t>Devoted Presence; Discipline 2+</t>
  </si>
  <si>
    <t>When you use Rousing Presence, spend 1 focus to increase one of the target's defenses by 2.</t>
  </si>
  <si>
    <t>Applied Motivation</t>
  </si>
  <si>
    <t>Galvanize; Discipline 2+</t>
  </si>
  <si>
    <t>When you cause a character to recover focus, they recover additional focus equal to half your ranks in Lore.</t>
  </si>
  <si>
    <t>Sage Counsel</t>
  </si>
  <si>
    <t>Stalwart Presence; Lore 3+</t>
  </si>
  <si>
    <t>When you Aid a character, spend 1 focus to grant them Rousing Presence.</t>
  </si>
  <si>
    <t>Inspired Zeal</t>
  </si>
  <si>
    <t>Stalwart Presence; Applied Motivation; Discipline 3+</t>
  </si>
  <si>
    <t>When an ally uses Determined, choose other allies to recover 1 focus, up to your ranks in Discipline</t>
  </si>
  <si>
    <t>Mentor</t>
  </si>
  <si>
    <t>Sound Advice</t>
  </si>
  <si>
    <t>Spend 1 focus to use Rousing Presence on an ally who failed a skill test.</t>
  </si>
  <si>
    <t>Practical Demonstration</t>
  </si>
  <si>
    <t>Leadership 1+</t>
  </si>
  <si>
    <t>When you Gain Advantage or hit with an attack, use your Rousing Presence as a w.</t>
  </si>
  <si>
    <t>Lessons in Patience</t>
  </si>
  <si>
    <t>Sound Advice; Discipline 2+</t>
  </si>
  <si>
    <t>Gain Motivational Speech expertise. When you use Rousing Presence, your target recoveres 1 focus.</t>
  </si>
  <si>
    <t>Instill Confidence</t>
  </si>
  <si>
    <t>Lessons in Patience; [a companion]</t>
  </si>
  <si>
    <t>Rousing Presence can make an ally Focused instead of Determined.</t>
  </si>
  <si>
    <t>Guiding Oration</t>
  </si>
  <si>
    <t>Mighty; Leadership 2+</t>
  </si>
  <si>
    <t>After you Gain Advantage, an ally within 10 ft of your target gains an advantage on their next test against your target.</t>
  </si>
  <si>
    <t>Instill Confidence; Discipline 3+</t>
  </si>
  <si>
    <t>Gain an additional reaction each turn.</t>
  </si>
  <si>
    <t>Rallying Shout</t>
  </si>
  <si>
    <t>Guiding Oration; Leadership 3+</t>
  </si>
  <si>
    <t>Rousing Presence can revive an Unconcious ally, and if they have 0 health, they recover health equal to their recovery die + your ranks in Leadership.</t>
  </si>
  <si>
    <t>Hunter</t>
  </si>
  <si>
    <t>Seek Quarry</t>
  </si>
  <si>
    <t>Choose a character to be your quarry, gaining an advantage on tests to find, attack, and study them.</t>
  </si>
  <si>
    <t>Archer</t>
  </si>
  <si>
    <t>Tagging Shot</t>
  </si>
  <si>
    <t>Perception 2+</t>
  </si>
  <si>
    <t>Move 5 ft and make a ranged attack. On a hit or a graze, the target becomes your quarry.</t>
  </si>
  <si>
    <t>Combat Training</t>
  </si>
  <si>
    <t>Gain expertise in a weapon, an armor, and Military Life. Once per round, graze without spending focus.</t>
  </si>
  <si>
    <t>Sharp Eye</t>
  </si>
  <si>
    <t>Observe a target then test Perception vs. Cognitive to learn their lowest attribute, lowest defense, or if their health, focus, or Investiture are below half.</t>
  </si>
  <si>
    <t>Steady Aim</t>
  </si>
  <si>
    <t>Combat Training; Agility 1+</t>
  </si>
  <si>
    <t>Increase your weapon range by half and deal extra damage equal to your ranks in Perception.</t>
  </si>
  <si>
    <t>Exploit Weakness</t>
  </si>
  <si>
    <t>Sharp Eye; Perception 3+</t>
  </si>
  <si>
    <t>Gain Advantage on your quarry without spending an action.</t>
  </si>
  <si>
    <t>Backstep</t>
  </si>
  <si>
    <t>Steady Aim; Agility 2+</t>
  </si>
  <si>
    <t>After making a ranged attack, spend 2 focus to Disengage without spending an action, and Brace if you enter cover or obscured area.</t>
  </si>
  <si>
    <t>Unrelenting Salvo</t>
  </si>
  <si>
    <t>Hardy; Agility 3+</t>
  </si>
  <si>
    <t>You can Strike your quarry more than once per turn with the same ranged weapon.</t>
  </si>
  <si>
    <t>Assassin</t>
  </si>
  <si>
    <t>Startling Blow</t>
  </si>
  <si>
    <t>Stealth 1+</t>
  </si>
  <si>
    <t>Make an unarmed or improvised weapon attack vs. Cognitive. On a hit or graze, the target is Surprised.</t>
  </si>
  <si>
    <t>Killing Edge</t>
  </si>
  <si>
    <t>Gain Knives and Slings expertises. These weapons gain the Deadly and Quickdraw expert traits.</t>
  </si>
  <si>
    <t>Fatal Thrust</t>
  </si>
  <si>
    <t>Startling Blow; Perception 3+</t>
  </si>
  <si>
    <t>Attack an unsuspecting target with a light melee weapon vs. Cognitive. Add 4d4 damage, and gain two advantages if the weapon is Discreet. Max damage rolls add a penalty to the injury roll.</t>
  </si>
  <si>
    <t>Shadowing</t>
  </si>
  <si>
    <t>Killing Edge; Stealth 2+</t>
  </si>
  <si>
    <t>Your quarry gains a disadvantage to sense you, and you gain an advantage to avoid their notice. When you succeed vs. Spiritual while in cover or obscured, spend 3 focus to designate that target as your quarry.</t>
  </si>
  <si>
    <t>Cold Eyes</t>
  </si>
  <si>
    <t>After you defeat your quarry, recover 1 focus and choose a new quarry.</t>
  </si>
  <si>
    <t>Swift Strikes</t>
  </si>
  <si>
    <t>Spend 1 focus to make a second Strike with the same weapon.</t>
  </si>
  <si>
    <t>Sidestep</t>
  </si>
  <si>
    <t>Shadowing; Stealth 3+</t>
  </si>
  <si>
    <t>Gain an additional reaction to Dodge when you're not wearing armor with deflect of 2 or higher.</t>
  </si>
  <si>
    <t>Tracker</t>
  </si>
  <si>
    <t>Deadly Trap</t>
  </si>
  <si>
    <t>Survival 1+</t>
  </si>
  <si>
    <t>Conceal a 5 ft entangling or impaling trap. Entangling Trap: Test Survival vs. Cognitive, roll 2d4 impact damage. Target is Immobilized and the area becomes difficult terrain. Impaling Trap: Test Survival vs. Physical, roll 2d4 keen damage. Target is Afflicted [vital damage equal to 3 + your ranks in Survival].</t>
  </si>
  <si>
    <t>Animal Bond</t>
  </si>
  <si>
    <t>[Animal Companion]</t>
  </si>
  <si>
    <t>While your companion is within 10 ft, your defenses increase by 1. Use a Free Action to give your companion one or two Actions on your turn. They can use Track for ▶▶: One target within your companion's reach becoems your quarry.</t>
  </si>
  <si>
    <t>Experienced Trapper</t>
  </si>
  <si>
    <t>Deadly Trap; Perception 2+</t>
  </si>
  <si>
    <t>You easily forage for characters up to your ranks in Survival. You can fashion natural tools using Survival. Your Deadly Traps increase to 2d6 damage and 2 rounds duration.</t>
  </si>
  <si>
    <t>Protective Bond</t>
  </si>
  <si>
    <t>Your animal companion protects an ally within 30 ft of you, and that ally gains your Animal Bond bonus instead of you.</t>
  </si>
  <si>
    <t>Feral Connection</t>
  </si>
  <si>
    <t>Protective Bond; Survival 2+</t>
  </si>
  <si>
    <t>Gain expertise in Animal Care. Your animal companion's health increases by 5 x your tier, and their defenses increase by 2, and their tests gain a bonus equal to your ranks in Survival.</t>
  </si>
  <si>
    <t>Hunter's Edge</t>
  </si>
  <si>
    <t>Experienced Trapper; Survival 3+</t>
  </si>
  <si>
    <t>Your animal companion gains an advantage against your quarry. Your Deadly Traps increase to 2d8 damage and 3 rounds duration.</t>
  </si>
  <si>
    <t>Pack Hunting</t>
  </si>
  <si>
    <t>Protective Bond; Perception 3+</t>
  </si>
  <si>
    <t>Spend 1 focus to add your ranks in Survival to your ally's attack or damage roll against your quarry.</t>
  </si>
  <si>
    <t>Leader</t>
  </si>
  <si>
    <t>Decisive Command</t>
  </si>
  <si>
    <t>Spend 1 focus to give an ally within 20 ft a d4 command die. They can add it to one die roll on their next test.</t>
  </si>
  <si>
    <t>Champion</t>
  </si>
  <si>
    <t>Combat Coordination</t>
  </si>
  <si>
    <t>Leadership 2+</t>
  </si>
  <si>
    <t>After you Strike, use Decisive Command without spending an action. If your Strike didn't hit, you also don't spend focus.</t>
  </si>
  <si>
    <t>Valiant Intervention</t>
  </si>
  <si>
    <t>Athletics 1+</t>
  </si>
  <si>
    <t>Spend 1 focus to move 10 ft, then test Athletics vs. Spiritual to give a target disadvantage on tests against your allies.</t>
  </si>
  <si>
    <t>Imposing Posture</t>
  </si>
  <si>
    <t>Combat Coordination; Athletics 2+</t>
  </si>
  <si>
    <t>After an enemy resists your influence while in your weapon's reach, they are Disoriented.</t>
  </si>
  <si>
    <t>Resolute Stand</t>
  </si>
  <si>
    <t>Hardy; Athletics 1+</t>
  </si>
  <si>
    <t>Valiant Intervention prevents Reactive Strikes. Spend focus up to your ranks in Leadership to add that many targets for Valiant Intervention.</t>
  </si>
  <si>
    <t>Resilient Hero</t>
  </si>
  <si>
    <t>Resolute Stand; Athletics 3+</t>
  </si>
  <si>
    <t>Before your health drops to 0, it instead becomes equal to your Athletics modifier</t>
  </si>
  <si>
    <t>Demonstrative Command</t>
  </si>
  <si>
    <t>Resolute Stand; Leadership 2+</t>
  </si>
  <si>
    <t>Increase the size of your command die. Spend 1 focus to add your command die to your Athletic, Agility, or Leadership d20 roll.</t>
  </si>
  <si>
    <t>Officer</t>
  </si>
  <si>
    <t>Through the Fray</t>
  </si>
  <si>
    <t>Persuasion 1+</t>
  </si>
  <si>
    <t>An ally within 20 ft can Disengage or Gain Advantage as a reaction.</t>
  </si>
  <si>
    <t>Well Supplied</t>
  </si>
  <si>
    <t>Composed; Persuasion 2+</t>
  </si>
  <si>
    <t>Gain Military Logistics expertise. Spend 2 focus to add Opportunity to your test to requisition resources.</t>
  </si>
  <si>
    <t>Relentless March</t>
  </si>
  <si>
    <t>Confident Command; Persuasion 3+</t>
  </si>
  <si>
    <t>Decisive Command increases your target's movement by 10 ft, and they ignore Exhausted, Slowed, and Surprised.</t>
  </si>
  <si>
    <t>Confident Command</t>
  </si>
  <si>
    <t>Customary Garb; Leadership 2+</t>
  </si>
  <si>
    <t>Increase the size of your command die. Spend 1 focus to add your command die to your Intimidation, Leadership, or Persuasion d20 rolls.</t>
  </si>
  <si>
    <t>Authority</t>
  </si>
  <si>
    <t>Confident Command; [Title granting you command of 5+ people]</t>
  </si>
  <si>
    <t>Double the range of Leader talents that affect allies, and double the number of allies affected.</t>
  </si>
  <si>
    <t>Politico</t>
  </si>
  <si>
    <t>Cutthroat Tactics</t>
  </si>
  <si>
    <t>Your ally can raise the stakes instead of rolling your command die; if they roll Complication, you recover 1 focus.</t>
  </si>
  <si>
    <t>Tactical Ploy</t>
  </si>
  <si>
    <t>Test Deception vs. Cognitive to make your taret lose one reaction and gain a disadvantage on their next cognitive or spiritual test.</t>
  </si>
  <si>
    <t>Rumormonger</t>
  </si>
  <si>
    <t>Cutthroat Tactics; [A patron]</t>
  </si>
  <si>
    <t>Gain Scandal expertise. Spend 2 focus to add Opportunity when you make a test to spread misinformation or gather rumors.</t>
  </si>
  <si>
    <t>Gain a Fashion expertise. While wearing Presentable armor or fashionable clothing, gain an advantage on your first Deception, Leadership, or Persuasion test.</t>
  </si>
  <si>
    <t>Set at Odds</t>
  </si>
  <si>
    <t>Baleful; Leadership 3+</t>
  </si>
  <si>
    <t>Spend focus equal lto the number of targets you want to seed division among. Test Leadership vs. their highest Spiritual to make them hostile to each other.</t>
  </si>
  <si>
    <t>Shrewd Command</t>
  </si>
  <si>
    <t>Rumormonger; Leadership 2+</t>
  </si>
  <si>
    <t>Increase the size of your command die. Spend 1 focus to add your command die to your Deception, Insight, or Leadership d20 roll.</t>
  </si>
  <si>
    <t>Grand Deception</t>
  </si>
  <si>
    <t>Shrewd Command; Deception 3+</t>
  </si>
  <si>
    <t>Spend 3 focus to test Deception (DC 15) to reveal a ruse that changes a detail.</t>
  </si>
  <si>
    <t>Scholar</t>
  </si>
  <si>
    <t>Erudition</t>
  </si>
  <si>
    <t>Temporarily gain a cultural or utility expertise and a rank in two non-invested cognitive skills. Reassign these after a long rest with library access.</t>
  </si>
  <si>
    <t>Artifabrian</t>
  </si>
  <si>
    <t>Efficient Engineer</t>
  </si>
  <si>
    <t>Crafting 1+</t>
  </si>
  <si>
    <t>Gain expertise in Armor Crafting, Equipment Crafting, or Weapon Crafting, and gain a fabrial. When crafting, your Opportunity range expands by 2 and your material cost is halved.</t>
  </si>
  <si>
    <t>Prized Acquisition</t>
  </si>
  <si>
    <t>Gain Fabrial Crafting expertise. Gain a ê gem you can immediately use to craft a fabrial of your tier. You can reuse this gem for new fabrials.</t>
  </si>
  <si>
    <t>Deep Study</t>
  </si>
  <si>
    <t>Erudition grants you an additional cultural or utility expertise and two additional non-invested cognitive skills.</t>
  </si>
  <si>
    <t>Inventive Design</t>
  </si>
  <si>
    <t>Prized Acquisition; Crafting 2+</t>
  </si>
  <si>
    <t>Your Prized Acquisition fabrial can have an effect 1 tier higher than the tier you're currently crafting.</t>
  </si>
  <si>
    <t>Fine Handiwork</t>
  </si>
  <si>
    <t>When crafting, advanced features cost one upgrade instead of two.</t>
  </si>
  <si>
    <t>Overcharge</t>
  </si>
  <si>
    <t>Prized Acquisition; Crafting 3+</t>
  </si>
  <si>
    <t>Once per turn, you can raise the stakes on a fabrial attack, then spend Opportunity to Strike with that fabrial as a Free Action.</t>
  </si>
  <si>
    <t>Experimental Tinkering</t>
  </si>
  <si>
    <t>When crafting, your Opportunity range expands by 1 and your crafting time is halved. During a long rest, you can reconfigure your Prized Acquisition fabrial to a different fabrial.</t>
  </si>
  <si>
    <t>Overwhelm with Details</t>
  </si>
  <si>
    <t>Experimental Tinkering; Lore 3+</t>
  </si>
  <si>
    <t>Spend 2 focus to use your Lore modifier on another cognitive or spiritual test.</t>
  </si>
  <si>
    <t>Strategist</t>
  </si>
  <si>
    <t>Strategize</t>
  </si>
  <si>
    <t>After you Gain Advantage using an Erudition skill, grant that advantage to an ally instead. You can spend 2 focus to also prevent the target from using reactions against that ally.</t>
  </si>
  <si>
    <t>Mind and Body</t>
  </si>
  <si>
    <t>Gain a weapon expertise. Gain an additional skill from Erudition. You can now choose physical skills with Erudition.</t>
  </si>
  <si>
    <t>Know Your Moment</t>
  </si>
  <si>
    <t>Mind and Body; Deduction 2+</t>
  </si>
  <si>
    <t>Your defenses increase by 2 from the start of each round until you take your turn.</t>
  </si>
  <si>
    <t>Deep Contemplation</t>
  </si>
  <si>
    <t>Composed; Lore 2+</t>
  </si>
  <si>
    <t>Reassign up to 2 skills and expertises from Erudition</t>
  </si>
  <si>
    <t>Keen Insight</t>
  </si>
  <si>
    <t>After you Gain Advantage, the target must resist your influence or gain a disadvantage on their next test.</t>
  </si>
  <si>
    <t>Contingency</t>
  </si>
  <si>
    <t>Composed; Lore 3+</t>
  </si>
  <si>
    <t>Spend 2 focus to remove Complication from the test of an ally within 20 ft.</t>
  </si>
  <si>
    <t>Turning Point</t>
  </si>
  <si>
    <t>Contingency; Deduction 3+</t>
  </si>
  <si>
    <t>Spend 2 focus to test Deduction vs. Cognitive of the enemy leader, gaining an advantage if you took a slow turn. On a success, you and your allies gain an Action on your next turns.</t>
  </si>
  <si>
    <t>Surgeon</t>
  </si>
  <si>
    <t>Field Medicine</t>
  </si>
  <si>
    <t>Medicine 1+</t>
  </si>
  <si>
    <t>Spend 1 focus and test Medicine (DC 15) to heal a concious character. On success, add your ranks in Medicine to their recovery die.</t>
  </si>
  <si>
    <t>Emotional Intelligence</t>
  </si>
  <si>
    <t>Gain Diagnosis expertise. Gain an additional skill from Erudtition. You can now choose Spiritual skills with Erudition.</t>
  </si>
  <si>
    <t>Anatomical Insight</t>
  </si>
  <si>
    <t>1 Focus or Opportunity</t>
  </si>
  <si>
    <t>When you hit with an unarmed attack, spend 1 focus or Opportunity to make the target Exhausted [ - half your ranks in Medicine].</t>
  </si>
  <si>
    <t>Swift Healer</t>
  </si>
  <si>
    <t>Field Medicine; Medicine 2+</t>
  </si>
  <si>
    <t>Use Field Medicine as a w. Your healing abilities restore additional health equal to your ranks in Medicine.</t>
  </si>
  <si>
    <t>Applied Medicine</t>
  </si>
  <si>
    <t>Collected; Lore 2+</t>
  </si>
  <si>
    <t>Your healing abilities restore additional health equal to your ranks in Lore.</t>
  </si>
  <si>
    <t>Ongoing Care</t>
  </si>
  <si>
    <t>Swift Healer; Lore 3+</t>
  </si>
  <si>
    <t>Gain Mental Health Care expertise. During a rest, test Medicine (DC 10) to treat an ally, removing one condition caused by their injury.</t>
  </si>
  <si>
    <t>Resuscitation</t>
  </si>
  <si>
    <t>Swift Healer; Medicine 3+</t>
  </si>
  <si>
    <t>Spend 3 focus when using Field Medicine to revive an Unconcious character or one who died recently.</t>
  </si>
  <si>
    <t>Warrior</t>
  </si>
  <si>
    <t>Vigilant Stance</t>
  </si>
  <si>
    <t>Enter Vigilant Stance: Reduce the focus cost of Dodge and Reactive Strike by 1, and you can enter other stances as a Free Action.</t>
  </si>
  <si>
    <t>Duelist</t>
  </si>
  <si>
    <t>Practiced Kata</t>
  </si>
  <si>
    <t>You can now use stances in conversation and endeavors, and unless Surprised, you can start each scene in Vigilant Stance. Spend 1 focus to enter a stance mid-conversation or mid-endeavor.</t>
  </si>
  <si>
    <t>Flamestance</t>
  </si>
  <si>
    <t>Intimidation 1+</t>
  </si>
  <si>
    <t>Enter Flamestance: You gain an advantage on Intimidation, and when only one enemy is in reach and no allies are, gain an Action to attack or Gain Advantage.</t>
  </si>
  <si>
    <t>Ironstance</t>
  </si>
  <si>
    <t>Practiced Kata; Athletics 2+</t>
  </si>
  <si>
    <t>Enter Ironstance: You gain an advantage on Insight, and when you're grazed or missed, you can make a Reactive Strike against your attacker.</t>
  </si>
  <si>
    <t>Signature Weapon</t>
  </si>
  <si>
    <t>Gain a weapon expertise. Choose one of your weapon expertises, expanding its Opportunity range by 1.</t>
  </si>
  <si>
    <t>Feinting Strike</t>
  </si>
  <si>
    <t>Flamestance; Intimidation 2+</t>
  </si>
  <si>
    <t>Spend 2 focus to make a melee weapon attack vs. Cognitive. On a hit, your target loses Reaction and loses focus equal to your ranks in Intimidation. On a graze, they lose half as much focus.</t>
  </si>
  <si>
    <t>Vinestance</t>
  </si>
  <si>
    <t>Feinting Strike; Athletics 3+</t>
  </si>
  <si>
    <t>Enter Vinestance: Your Physical and Cognitive defenses increase by 1. After you're hit or grazed in melee, spend Reaction to test Athletics vs. Cognitive to make attacker lsoe 1d4 focus and be pushed.</t>
  </si>
  <si>
    <t>Wit's End</t>
  </si>
  <si>
    <t>Feinting Strike; Intimidation 3+</t>
  </si>
  <si>
    <t>Spend 1 focus to move half your movement then make a melee weapon attack vs. Cognitive of a target who has 0 focus. This attack ignores deflect, deals an extra 4d6 damage, and can't graze.</t>
  </si>
  <si>
    <t>Shardbearer</t>
  </si>
  <si>
    <t>Shard Training</t>
  </si>
  <si>
    <t>[Access to a Shardblade and Shardplate]</t>
  </si>
  <si>
    <t>Gain Shardblade expertise, and gain either Grandbow, Shardblade, or Warhammer expertise. Your Shardplate has 2 additional charges. Your Shardblade Strikes graze additional targets up to your ranks in the skill used.</t>
  </si>
  <si>
    <t>Stonestance</t>
  </si>
  <si>
    <t>Enter Stonestance: Your deflect increases by 1, and enemies within your reach must spend an additional Action to attack your allies who aren't in Stonestance.</t>
  </si>
  <si>
    <t>Windstance</t>
  </si>
  <si>
    <t>Shard Training; Perception 1+</t>
  </si>
  <si>
    <t>Enter Windstance: Gain an advantage on Agility. While you can reach multiple enemies, use Free Action to gain an Action to Disengage or attack.</t>
  </si>
  <si>
    <t>Shattering Blow</t>
  </si>
  <si>
    <t>Windstance; Perception 2+</t>
  </si>
  <si>
    <t>When you hit with a melee attack, spend 2 focus to deplete 1 charge from their armor, and each target you damage is pushed 5 ft.</t>
  </si>
  <si>
    <t>Bloodstance</t>
  </si>
  <si>
    <t>Shard Training; Mighty; Athletics 2+</t>
  </si>
  <si>
    <t>Enter Bloodstance: Your Opportunity range for attacks and physical tess expands by 2, but your Physical, Cognitive, and Spiritual defenses decrease by 2.</t>
  </si>
  <si>
    <t>Precise Parry</t>
  </si>
  <si>
    <t>Shattering Blow; Perception 3+</t>
  </si>
  <si>
    <t>Before being hit in melee, spend 1 focus to attempt to turn it into a graze. If unarmed, test Athletics vs. triggering attack, gaining a disadvantage unless attacked by a Shardblade. If armed, test Light/Heavy Weaponry vs. triggering attack.</t>
  </si>
  <si>
    <t>Meteoric Leap</t>
  </si>
  <si>
    <t>Bloodstance; Athletics 3+</t>
  </si>
  <si>
    <t>Spend 2 focus to leap a quarter of your movement and make an unarmed attack vs. Physical of multiple targets, doubling damage and knocking weaker targets Prone. Gain an advantage in Shardplate.</t>
  </si>
  <si>
    <t>Soldier</t>
  </si>
  <si>
    <t>Cautious Advance</t>
  </si>
  <si>
    <t>Move up to half your movement, ignoring difficult terrain, then gain ▶▶ to Brace or Gain Advantage.</t>
  </si>
  <si>
    <t>Defensive Position</t>
  </si>
  <si>
    <t>Cautious Advance; Athletics 2+</t>
  </si>
  <si>
    <t>The Brace action adds two disadvantages to attacks against you, instead of one, and allies can Brace behind your shield.</t>
  </si>
  <si>
    <t>Devastating Blow</t>
  </si>
  <si>
    <t>Combat Training; Athletics 3+</t>
  </si>
  <si>
    <t>Make a melee weapon atack vs. Physical, rolling an extra 2d8 damage.</t>
  </si>
  <si>
    <t>Formation Drills</t>
  </si>
  <si>
    <t>Defensive Position; Discipline 2+</t>
  </si>
  <si>
    <t>Allies within 10 ft who Brace gain the benefits of your Defensive Position.</t>
  </si>
  <si>
    <t>Wary</t>
  </si>
  <si>
    <t>Defensive Position; Discipline 3+</t>
  </si>
  <si>
    <t>You can't be Surprised while you have focus. When you lose focus involuntarily, reduce the amount lost by your ranks in Discipline.</t>
  </si>
  <si>
    <t>Beginner's Luck</t>
  </si>
  <si>
    <t xml:space="preserve">Choose a creature in Attunement Range. Test Sovereignty vs Spiritual. On a success, reduce the the die size for all damage rolls until the character finishes a long rest. </t>
  </si>
  <si>
    <t>At the start of each turn, choose one: one enemy in Attunement Range loses temporary HP equal to your ranks in Sovereignty (diminish), OR one ally in Attunement Range gains temporary HP equal to ranks in Sovereignty (elevate). You are immune to disease.</t>
  </si>
  <si>
    <t>Boon or Decree</t>
  </si>
  <si>
    <t>Boon</t>
  </si>
  <si>
    <t>Choose an ally in Attunement Range. Increase the die size for all damage rolls made by that character until the end of the scene.</t>
  </si>
  <si>
    <t>Declare a law for a 30 ft radius centered on you (scene). Choose one: "None shall flee" (leaving takes [Die] Spirit damage), "None shall mend" (healing halved), "None shall hide" (Disadvantage on Stealth tests), "None shall stand alone" (isolated creatures take Spirit damage equal to your Sovereignty modifier per turn). Change decree once per round as free action.</t>
  </si>
  <si>
    <t>Scene: at the start of each of your turns, designate one creature in Attunement Range as Elevated (+1 all tests, +1 Defenses, regain HP equal to Tier per turn) or Condemned (-1 all tests, -1 Defenses, Spirit damage equal to Tier per turn).</t>
  </si>
  <si>
    <t xml:space="preserve">Spend 1/2 [Die] health to make a ranged Ritual attack vs Spiritual of a target within Attunement Range, rolling 2 [Die] Vital damage. </t>
  </si>
  <si>
    <t xml:space="preserve">Spend 1 Investiture to test Ritual vs Spiritual of a character within Attunement Range. On a success, that character becomes Afflicted [[Die] Vital damage]. </t>
  </si>
  <si>
    <t>When you lose HP to activate a Black Ritual talent, gain Advantage on your next Spiritual test.</t>
  </si>
  <si>
    <t>When you hit a creature with a Ritual attack, reduce its healing received by half until end of your next turn.</t>
  </si>
  <si>
    <t>When you lose HP from a Ritual talent, store the lost amount as Reserve, with a maximum equal to your ranks in Black. Spend Reserve as Investiture for Black talents.</t>
  </si>
  <si>
    <t xml:space="preserve">Test Ritual vs Cognitive of a character within Attunement Range. On a success, spend Reserve as health for Ritual talents targeting this character.  </t>
  </si>
  <si>
    <t>Double Dip</t>
  </si>
  <si>
    <t>Black 3+; Dark Investiture</t>
  </si>
  <si>
    <t>2 Focus; 1 Investiture</t>
  </si>
  <si>
    <t>When a creature with 0 Focus takes its turn, spend 2 Focus and 1 Investiture to choose one of its actions this turn.</t>
  </si>
  <si>
    <t>Composed; Black 3+</t>
  </si>
  <si>
    <t>1 Focus; 2 Investiture</t>
  </si>
  <si>
    <t xml:space="preserve">When a Weakened creature within Attunement Range moves toward an ally, spend 1 Focus and 2 Investiture to reduce its Speed to 0. </t>
  </si>
  <si>
    <t>Jump Scare</t>
  </si>
  <si>
    <t>Spend 1 Investiture to make a ranged Isolation attack vs Cognitive of a character within Attunement Range, rolling [Die] Vital damage. That character may spend Focus equal to your ranks in Isolation or must use 2 Actions on its next turn to move away from you.</t>
  </si>
  <si>
    <t>Spend 1 Investiture to move 10 feet towards an isolated character within Attunement Range without provoking Reactive Strikes.</t>
  </si>
  <si>
    <t>When you deal Vital damage to a creature, it becomes Weakened until the end of your next turn.</t>
  </si>
  <si>
    <t>You communicate telepathically with willing creatures within Attunement Range until the end of the scene. Allies in the network share your Expertise.</t>
  </si>
  <si>
    <t>When making an Influence or Illusion tests against a character, they become Disoriented on a success.</t>
  </si>
  <si>
    <t>When a creature within Attunement Range moves, spend 1 Investiture to test Illusion vs. Physical. On a success, reduce its remaining movement by [Size] or push it [Size] ft in any direction.</t>
  </si>
  <si>
    <t>When an ally within Attunement Range moves, they may move an additional [Size] ft without provoking Reactions.</t>
  </si>
  <si>
    <t>Subtle Suggestion; Blue 2+</t>
  </si>
  <si>
    <t>Velocity Shift; Blue 2+</t>
  </si>
  <si>
    <t>Holographic Illusion</t>
  </si>
  <si>
    <t>Variable Investiture</t>
  </si>
  <si>
    <t xml:space="preserve">Spend 1 Investiture to create an illusion within Attunement Range. The illusion cannot exceed [Size]. Illusions cost 1 Investiture every 10 minutes, unless it depicts a character or complex object. Complex illusions cost 1 Investiture every round, and can move up to your movement rate. You can use a Free Action to have your illusion perform simple, mindless tasks, and an Action to have it perform something requiring your attention (such as a conversation). </t>
  </si>
  <si>
    <t>Create a shimmering barrier at a point within Attunement Range. It has HP equal to 2[Die]  provides cover, and blocks movement.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</si>
</sst>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6"/>
      <color rgb="FFFFFFFF"/>
      <name val="Arial"/>
    </font>
    <font>
      <b/>
      <sz val="12"/>
      <color rgb="FFFFFFFF"/>
      <name val="Arial"/>
    </font>
    <font>
      <b/>
      <sz val="10"/>
      <color rgb="FF2C3E6B"/>
      <name val="Arial"/>
    </font>
    <font>
      <sz val="10"/>
      <color rgb="FF000000"/>
      <name val="Arial"/>
    </font>
    <font>
      <i/>
      <sz val="9"/>
      <color rgb="FFAAAAAA"/>
      <name val="Arial"/>
    </font>
    <font>
      <b/>
      <sz val="10"/>
      <color rgb="FF0000FF"/>
      <name val="Arial"/>
    </font>
    <font>
      <b/>
      <sz val="10"/>
      <color rgb="FF006400"/>
      <name val="Arial"/>
    </font>
    <font>
      <b/>
      <sz val="11"/>
      <color rgb="FFFFFFFF"/>
      <name val="Arial"/>
    </font>
    <font>
      <b/>
      <sz val="10"/>
      <color rgb="FFCC0000"/>
      <name val="Arial"/>
    </font>
    <font>
      <sz val="9"/>
      <color rgb="FF666666"/>
      <name val="Arial"/>
    </font>
    <font>
      <b/>
      <sz val="10"/>
      <color rgb="FFFFFFFF"/>
      <name val="Arial"/>
    </font>
    <font>
      <b/>
      <sz val="9"/>
      <color rgb="FF2C3E6B"/>
      <name val="Arial"/>
    </font>
    <font>
      <sz val="9"/>
      <color rgb="FF333333"/>
      <name val="Arial"/>
    </font>
    <font>
      <sz val="9"/>
      <color rgb="FF006400"/>
      <name val="Arial"/>
    </font>
    <font>
      <b/>
      <sz val="9"/>
      <color rgb="FFCC6600"/>
      <name val="Arial"/>
    </font>
    <font>
      <b/>
      <sz val="14"/>
      <color rgb="FF5B2C8B"/>
      <name val="Arial"/>
    </font>
    <font>
      <b/>
      <sz val="12"/>
      <color rgb="FF5B2C8B"/>
      <name val="Arial"/>
    </font>
    <font>
      <b/>
      <sz val="10"/>
      <color rgb="FF5B2C8B"/>
      <name val="Arial"/>
    </font>
    <font>
      <sz val="10"/>
      <color rgb="FF333333"/>
      <name val="Arial"/>
    </font>
    <font>
      <b/>
      <sz val="10"/>
      <name val="Arial"/>
    </font>
  </fonts>
  <fills count="17">
    <fill>
      <patternFill patternType="none"/>
    </fill>
    <fill>
      <patternFill patternType="gray125"/>
    </fill>
    <fill>
      <patternFill patternType="solid">
        <fgColor rgb="FF1B2A4A"/>
      </patternFill>
    </fill>
    <fill>
      <patternFill patternType="solid">
        <fgColor rgb="FF2C3E6B"/>
      </patternFill>
    </fill>
    <fill>
      <patternFill patternType="solid">
        <fgColor rgb="FFF8F9FA"/>
      </patternFill>
    </fill>
    <fill>
      <patternFill patternType="solid">
        <fgColor rgb="FFFFF3CD"/>
      </patternFill>
    </fill>
    <fill>
      <patternFill patternType="solid">
        <fgColor rgb="FFF5F0E1"/>
      </patternFill>
    </fill>
    <fill>
      <patternFill patternType="solid">
        <fgColor rgb="FFD6EAF8"/>
      </patternFill>
    </fill>
    <fill>
      <patternFill patternType="solid">
        <fgColor rgb="FF3A506B"/>
      </patternFill>
    </fill>
    <fill>
      <patternFill patternType="solid">
        <fgColor rgb="FFFADBD8"/>
      </patternFill>
    </fill>
    <fill>
      <patternFill patternType="solid">
        <fgColor rgb="FFE8F6E3"/>
      </patternFill>
    </fill>
    <fill>
      <patternFill patternType="solid">
        <fgColor rgb="FFE8EAF6"/>
      </patternFill>
    </fill>
    <fill>
      <patternFill patternType="solid">
        <fgColor rgb="FFFFF9E6"/>
      </patternFill>
    </fill>
    <fill>
      <patternFill patternType="solid">
        <fgColor rgb="FFFFE8CC"/>
      </patternFill>
    </fill>
    <fill>
      <patternFill patternType="solid">
        <fgColor rgb="FFE8E0F0"/>
      </patternFill>
    </fill>
    <fill>
      <patternFill patternType="solid">
        <fgColor rgb="FFDDD0EE"/>
      </patternFill>
    </fill>
    <fill>
      <patternFill patternType="solid">
        <fgColor rgb="FFFAFAFA"/>
      </patternFill>
    </fill>
  </fills>
  <borders count="11">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
      <left/>
      <right/>
      <top style="thin">
        <color rgb="FFCCCCCC"/>
      </top>
      <bottom style="thin">
        <color rgb="FFCCCCCC"/>
      </bottom>
      <diagonal/>
    </border>
    <border>
      <left style="thin">
        <color rgb="FFCCCCCC"/>
      </left>
      <right/>
      <top/>
      <bottom/>
      <diagonal/>
    </border>
    <border>
      <left/>
      <right style="thin">
        <color rgb="FFCCCCCC"/>
      </right>
      <top/>
      <bottom/>
      <diagonal/>
    </border>
    <border>
      <left style="thin">
        <color rgb="FFCCCCCC"/>
      </left>
      <right/>
      <top/>
      <bottom style="thin">
        <color rgb="FFCCCCCC"/>
      </bottom>
      <diagonal/>
    </border>
    <border>
      <left/>
      <right/>
      <top/>
      <bottom style="thin">
        <color rgb="FFCCCCCC"/>
      </bottom>
      <diagonal/>
    </border>
    <border>
      <left/>
      <right style="thin">
        <color rgb="FFCCCCCC"/>
      </right>
      <top/>
      <bottom style="thin">
        <color rgb="FFCCCCCC"/>
      </bottom>
      <diagonal/>
    </border>
  </borders>
  <cellStyleXfs count="1">
    <xf numFmtId="0" fontId="0" fillId="0" borderId="0"/>
  </cellStyleXfs>
  <cellXfs count="68">
    <xf numFmtId="0" fontId="0" fillId="0" borderId="0" xfId="0"/>
    <xf numFmtId="0" fontId="10" fillId="0" borderId="0" xfId="0" applyFont="1"/>
    <xf numFmtId="0" fontId="3" fillId="0" borderId="0" xfId="0" applyFont="1"/>
    <xf numFmtId="0" fontId="6" fillId="6" borderId="1" xfId="0" applyFont="1" applyFill="1" applyBorder="1"/>
    <xf numFmtId="0" fontId="6" fillId="6" borderId="1" xfId="0" applyFont="1" applyFill="1" applyBorder="1" applyAlignment="1">
      <alignment horizontal="center" vertical="center" wrapText="1"/>
    </xf>
    <xf numFmtId="0" fontId="18" fillId="0" borderId="0" xfId="0" applyFont="1" applyAlignment="1">
      <alignment horizontal="right" vertical="center"/>
    </xf>
    <xf numFmtId="0" fontId="7" fillId="7"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18" fillId="0" borderId="0" xfId="0" applyFont="1" applyAlignment="1">
      <alignment horizontal="right" vertical="top"/>
    </xf>
    <xf numFmtId="0" fontId="20" fillId="0" borderId="1" xfId="0" applyFont="1" applyBorder="1" applyAlignment="1">
      <alignment horizontal="center" vertical="center" wrapText="1"/>
    </xf>
    <xf numFmtId="0" fontId="3" fillId="0" borderId="0" xfId="0" applyFont="1" applyAlignment="1">
      <alignment horizontal="right" vertical="center"/>
    </xf>
    <xf numFmtId="0" fontId="7" fillId="0" borderId="1" xfId="0" applyFont="1" applyBorder="1" applyAlignment="1">
      <alignment horizontal="center" vertical="center" wrapText="1"/>
    </xf>
    <xf numFmtId="0" fontId="9" fillId="9" borderId="1" xfId="0" applyFont="1" applyFill="1" applyBorder="1" applyAlignment="1">
      <alignment horizontal="center" vertical="center" wrapText="1"/>
    </xf>
    <xf numFmtId="0" fontId="19" fillId="0" borderId="1" xfId="0" applyFont="1" applyBorder="1"/>
    <xf numFmtId="0" fontId="19" fillId="0" borderId="1" xfId="0" applyFont="1" applyBorder="1" applyAlignment="1">
      <alignment horizontal="center" vertical="center" wrapText="1"/>
    </xf>
    <xf numFmtId="0" fontId="19" fillId="0" borderId="1" xfId="0" applyFont="1" applyBorder="1" applyAlignment="1">
      <alignment vertical="top" wrapText="1"/>
    </xf>
    <xf numFmtId="0" fontId="4" fillId="0" borderId="1" xfId="0" applyFont="1" applyBorder="1"/>
    <xf numFmtId="0" fontId="7" fillId="4" borderId="1" xfId="0" applyFont="1" applyFill="1" applyBorder="1" applyAlignment="1">
      <alignment horizontal="center" vertical="center" wrapText="1"/>
    </xf>
    <xf numFmtId="0" fontId="7" fillId="10" borderId="1" xfId="0" applyFont="1" applyFill="1" applyBorder="1"/>
    <xf numFmtId="0" fontId="12"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5" borderId="1" xfId="0" applyFont="1" applyFill="1" applyBorder="1" applyAlignment="1">
      <alignment horizontal="center" vertical="center" wrapText="1"/>
    </xf>
    <xf numFmtId="0" fontId="3" fillId="4" borderId="1" xfId="0" applyFont="1" applyFill="1" applyBorder="1"/>
    <xf numFmtId="0" fontId="3" fillId="0" borderId="0" xfId="0" applyFont="1" applyAlignment="1">
      <alignment wrapText="1"/>
    </xf>
    <xf numFmtId="0" fontId="0" fillId="0" borderId="0" xfId="0" applyAlignment="1">
      <alignment wrapText="1"/>
    </xf>
    <xf numFmtId="0" fontId="0" fillId="6" borderId="1" xfId="0" applyFill="1" applyBorder="1"/>
    <xf numFmtId="0" fontId="0" fillId="0" borderId="5" xfId="0" applyBorder="1"/>
    <xf numFmtId="0" fontId="0" fillId="0" borderId="4" xfId="0" applyBorder="1"/>
    <xf numFmtId="0" fontId="2" fillId="3" borderId="0" xfId="0" applyFont="1" applyFill="1" applyAlignment="1">
      <alignment horizontal="center" vertical="center" wrapText="1"/>
    </xf>
    <xf numFmtId="0" fontId="0" fillId="3" borderId="0" xfId="0" applyFill="1"/>
    <xf numFmtId="0" fontId="13" fillId="12" borderId="1" xfId="0" applyFont="1" applyFill="1" applyBorder="1" applyAlignment="1">
      <alignment vertical="top" wrapText="1"/>
    </xf>
    <xf numFmtId="0" fontId="6" fillId="12" borderId="1" xfId="0" applyFont="1" applyFill="1" applyBorder="1"/>
    <xf numFmtId="0" fontId="8" fillId="8" borderId="0" xfId="0" applyFont="1" applyFill="1" applyAlignment="1">
      <alignment horizontal="center" vertical="center" wrapText="1"/>
    </xf>
    <xf numFmtId="0" fontId="0" fillId="8" borderId="0" xfId="0" applyFill="1"/>
    <xf numFmtId="0" fontId="13" fillId="12" borderId="1" xfId="0" applyFont="1" applyFill="1" applyBorder="1" applyAlignment="1">
      <alignment wrapText="1"/>
    </xf>
    <xf numFmtId="0" fontId="0" fillId="0" borderId="5" xfId="0" applyBorder="1" applyAlignment="1">
      <alignment wrapText="1"/>
    </xf>
    <xf numFmtId="0" fontId="0" fillId="0" borderId="4" xfId="0" applyBorder="1" applyAlignment="1">
      <alignment wrapText="1"/>
    </xf>
    <xf numFmtId="0" fontId="10" fillId="0" borderId="0" xfId="0" applyFont="1"/>
    <xf numFmtId="0" fontId="0" fillId="0" borderId="0" xfId="0"/>
    <xf numFmtId="0" fontId="12" fillId="11" borderId="0" xfId="0" applyFont="1" applyFill="1" applyAlignment="1">
      <alignment horizontal="center" vertical="center" wrapText="1"/>
    </xf>
    <xf numFmtId="0" fontId="0" fillId="11" borderId="0" xfId="0" applyFill="1"/>
    <xf numFmtId="0" fontId="19" fillId="16" borderId="1" xfId="0" applyFont="1" applyFill="1" applyBorder="1"/>
    <xf numFmtId="0" fontId="11" fillId="8" borderId="0" xfId="0" applyFont="1" applyFill="1" applyAlignment="1">
      <alignment horizontal="center" vertical="center" wrapText="1"/>
    </xf>
    <xf numFmtId="0" fontId="13" fillId="12" borderId="1" xfId="0" applyFont="1" applyFill="1" applyBorder="1"/>
    <xf numFmtId="0" fontId="3" fillId="4" borderId="1" xfId="0" applyFont="1" applyFill="1" applyBorder="1" applyAlignment="1">
      <alignment horizontal="center" vertical="center" wrapText="1"/>
    </xf>
    <xf numFmtId="0" fontId="0" fillId="4" borderId="1" xfId="0" applyFill="1" applyBorder="1"/>
    <xf numFmtId="0" fontId="14" fillId="10" borderId="1" xfId="0" applyFont="1" applyFill="1" applyBorder="1" applyAlignment="1">
      <alignment wrapText="1"/>
    </xf>
    <xf numFmtId="0" fontId="16" fillId="14" borderId="0" xfId="0" applyFont="1" applyFill="1" applyAlignment="1">
      <alignment horizontal="center" vertical="center" wrapText="1"/>
    </xf>
    <xf numFmtId="0" fontId="0" fillId="14" borderId="0" xfId="0" applyFill="1"/>
    <xf numFmtId="0" fontId="13" fillId="13" borderId="1" xfId="0" applyFont="1" applyFill="1" applyBorder="1" applyAlignment="1">
      <alignment vertical="top" wrapText="1"/>
    </xf>
    <xf numFmtId="0" fontId="19" fillId="16" borderId="1" xfId="0" applyFont="1" applyFill="1" applyBorder="1" applyAlignment="1">
      <alignmen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6" fillId="13" borderId="1" xfId="0" applyFont="1" applyFill="1" applyBorder="1"/>
    <xf numFmtId="0" fontId="1" fillId="2" borderId="0" xfId="0" applyFont="1" applyFill="1" applyAlignment="1">
      <alignment horizontal="center" vertical="center" wrapText="1"/>
    </xf>
    <xf numFmtId="0" fontId="0" fillId="2" borderId="0" xfId="0" applyFill="1"/>
    <xf numFmtId="0" fontId="5" fillId="2" borderId="0" xfId="0" applyFont="1" applyFill="1" applyAlignment="1">
      <alignment horizontal="center" vertical="center" wrapText="1"/>
    </xf>
    <xf numFmtId="0" fontId="6" fillId="6" borderId="1" xfId="0" applyFont="1" applyFill="1" applyBorder="1"/>
    <xf numFmtId="0" fontId="14" fillId="10" borderId="1" xfId="0" applyFont="1" applyFill="1" applyBorder="1"/>
    <xf numFmtId="0" fontId="17" fillId="15" borderId="0" xfId="0" applyFont="1" applyFill="1" applyAlignment="1">
      <alignment horizontal="center" vertical="center" wrapText="1"/>
    </xf>
    <xf numFmtId="0" fontId="0" fillId="15" borderId="0" xfId="0" applyFill="1"/>
    <xf numFmtId="0" fontId="7" fillId="10"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67E22"/>
  </sheetPr>
  <dimension ref="A1:Z201"/>
  <sheetViews>
    <sheetView tabSelected="1" topLeftCell="A22" workbookViewId="0">
      <pane ySplit="1200" activePane="bottomLeft"/>
      <selection activeCell="B54" sqref="B54"/>
      <selection pane="bottomLeft" activeCell="G6" sqref="G6"/>
    </sheetView>
  </sheetViews>
  <sheetFormatPr defaultRowHeight="15" x14ac:dyDescent="0.25"/>
  <cols>
    <col min="1" max="1" width="20.5703125" bestFit="1" customWidth="1"/>
    <col min="2" max="2" width="17" customWidth="1"/>
    <col min="3" max="4" width="15" customWidth="1"/>
    <col min="5" max="5" width="15.5703125" bestFit="1" customWidth="1"/>
    <col min="6" max="6" width="17" customWidth="1"/>
    <col min="7" max="8" width="15" customWidth="1"/>
    <col min="9" max="9" width="17.7109375" bestFit="1" customWidth="1"/>
    <col min="10" max="10" width="17" customWidth="1"/>
    <col min="11" max="12" width="15" customWidth="1"/>
    <col min="13" max="13" width="2" customWidth="1"/>
    <col min="14" max="14" width="24" customWidth="1"/>
    <col min="15" max="15" width="14" customWidth="1"/>
    <col min="16" max="16" width="10" customWidth="1"/>
    <col min="17" max="17" width="24" customWidth="1"/>
    <col min="18" max="18" width="50" customWidth="1"/>
    <col min="19" max="19" width="30" customWidth="1"/>
    <col min="21" max="26" width="13" hidden="1" customWidth="1"/>
  </cols>
  <sheetData>
    <row r="1" spans="1:26" x14ac:dyDescent="0.25">
      <c r="A1" s="60" t="s">
        <v>0</v>
      </c>
      <c r="B1" s="61"/>
      <c r="C1" s="61"/>
      <c r="D1" s="61"/>
      <c r="E1" s="61"/>
      <c r="F1" s="61"/>
      <c r="G1" s="61"/>
      <c r="H1" s="61"/>
      <c r="I1" s="61"/>
      <c r="J1" s="61"/>
      <c r="K1" s="61"/>
      <c r="L1" s="61"/>
      <c r="N1" s="48" t="s">
        <v>1</v>
      </c>
      <c r="O1" s="49"/>
      <c r="P1" s="49"/>
      <c r="Q1" s="49"/>
      <c r="R1" s="49"/>
      <c r="U1" s="1" t="s">
        <v>2</v>
      </c>
      <c r="V1" s="1" t="s">
        <v>3</v>
      </c>
      <c r="W1" s="1" t="s">
        <v>4</v>
      </c>
      <c r="X1" s="1" t="s">
        <v>5</v>
      </c>
      <c r="Y1" s="1" t="s">
        <v>6</v>
      </c>
      <c r="Z1" s="1" t="s">
        <v>7</v>
      </c>
    </row>
    <row r="2" spans="1:26" x14ac:dyDescent="0.25">
      <c r="A2" s="62" t="s">
        <v>8</v>
      </c>
      <c r="B2" s="61"/>
      <c r="C2" s="61"/>
      <c r="D2" s="61"/>
      <c r="E2" s="61"/>
      <c r="F2" s="61"/>
      <c r="G2" s="61"/>
      <c r="H2" s="61"/>
      <c r="I2" s="61"/>
      <c r="J2" s="61"/>
      <c r="K2" s="61"/>
      <c r="L2" s="61"/>
      <c r="N2" s="38" t="s">
        <v>9</v>
      </c>
      <c r="O2" s="39"/>
      <c r="P2" s="39"/>
      <c r="Q2" s="39"/>
      <c r="R2" s="39"/>
      <c r="U2" t="str">
        <f t="array" ref="U2:U51">IFERROR(_xlfn._xlws.FILTER(Calc!$D$2:$D$375,(Calc!$A$2:$A$375="heroic")*(Calc!$B$2:$B$375=$C$6)*(Calc!$C$2:$C$375&lt;&gt;"Key")),"")</f>
        <v>Efficient Engineer</v>
      </c>
      <c r="V2" t="str">
        <f t="array" ref="V2:V51">IFERROR(_xlfn._xlws.FILTER(Calc!$D$2:$D$375,(Calc!$A$2:$A$375="leyline")*(Calc!$B$2:$B$375=$C$7)*(Calc!$C$2:$C$375&lt;&gt;"Key")),"")</f>
        <v>Primal Awareness</v>
      </c>
      <c r="W2" t="str">
        <f t="array" ref="W2:W51">IFERROR(_xlfn._xlws.FILTER(Calc!$D$2:$D$375,(Calc!$A$2:$A$375="leyline")*(Calc!$B$2:$B$375=$C$8)*(Calc!$C$2:$C$375&lt;&gt;"Key")),"")</f>
        <v>Burning Drive</v>
      </c>
      <c r="X2" t="str">
        <f t="array" ref="X2:X51">IFERROR(_xlfn._xlws.FILTER(Calc!$D$2:$D$375,(Calc!$A$2:$A$375="deity")*(Calc!$B$2:$B$375=$C$9)*(Calc!$C$2:$C$375&lt;&gt;"Key")),"")</f>
        <v>Pattern Recognition</v>
      </c>
      <c r="Y2" t="str">
        <f t="array" ref="Y2:Y201">IFERROR(_xlfn._xlws.FILTER(Calc!$D$2:$D$375,(((Calc!$A$2:$A$375="heroic")*(Calc!$B$2:$B$375=$C$6))+((Calc!$A$2:$A$375="leyline")*(Calc!$B$2:$B$375=$C$7))+((Calc!$A$2:$A$375="leyline")*(Calc!$B$2:$B$375=$C$8))+((Calc!$A$2:$A$375="deity")*(Calc!$B$2:$B$375=$C$9)))*(Calc!$C$2:$C$375&lt;&gt;"Key")),"")</f>
        <v>Burning Drive</v>
      </c>
      <c r="Z2" t="str">
        <f t="array" ref="Z2:Z30">IFERROR(_xlfn.UNIQUE(_xlfn._xlws.FILTER(Calc!$C$2:$C$375,(((Calc!$A$2:$A$375="heroic")*(Calc!$B$2:$B$375=$C$6))+((Calc!$A$2:$A$375="leyline")*(Calc!$B$2:$B$375=$C$7))+((Calc!$A$2:$A$375="leyline")*(Calc!$B$2:$B$375=$C$8))+((Calc!$A$2:$A$375="deity")*(Calc!$B$2:$B$375=$C$9)))*(Calc!$C$2:$C$375&lt;&gt;"Key"))),"")</f>
        <v>Momentum</v>
      </c>
    </row>
    <row r="3" spans="1:26" x14ac:dyDescent="0.25">
      <c r="U3" t="str">
        <v>Prized Acquisition</v>
      </c>
      <c r="V3" t="str">
        <v>Grasping Vines</v>
      </c>
      <c r="W3" t="str">
        <v>Reckless Advance</v>
      </c>
      <c r="X3" t="str">
        <v>Predator's Taxonomy</v>
      </c>
      <c r="Y3" t="str">
        <v>Reckless Advance</v>
      </c>
      <c r="Z3" t="str">
        <v>Conflagration</v>
      </c>
    </row>
    <row r="4" spans="1:26" x14ac:dyDescent="0.25">
      <c r="A4" s="29" t="s">
        <v>10</v>
      </c>
      <c r="B4" s="30"/>
      <c r="C4" s="30"/>
      <c r="D4" s="30"/>
      <c r="E4" s="30"/>
      <c r="F4" s="30"/>
      <c r="G4" s="30"/>
      <c r="H4" s="30"/>
      <c r="I4" s="30"/>
      <c r="J4" s="30"/>
      <c r="K4" s="30"/>
      <c r="L4" s="30"/>
      <c r="N4" s="65" t="s">
        <v>11</v>
      </c>
      <c r="O4" s="66"/>
      <c r="P4" s="66"/>
      <c r="Q4" s="66"/>
      <c r="R4" s="66"/>
      <c r="U4" t="str">
        <v>Deep Study</v>
      </c>
      <c r="V4" t="str">
        <v>Territorial Instinct</v>
      </c>
      <c r="W4" t="str">
        <v>Volatile Strike</v>
      </c>
      <c r="X4" t="str">
        <v>Environmental Reading</v>
      </c>
      <c r="Y4" t="str">
        <v>Volatile Strike</v>
      </c>
      <c r="Z4" t="str">
        <v>Frenzy</v>
      </c>
    </row>
    <row r="5" spans="1:26" x14ac:dyDescent="0.25">
      <c r="B5" s="2" t="s">
        <v>12</v>
      </c>
      <c r="C5" s="63"/>
      <c r="D5" s="28"/>
      <c r="F5" s="2" t="s">
        <v>13</v>
      </c>
      <c r="G5" s="4">
        <v>11</v>
      </c>
      <c r="J5" s="2" t="s">
        <v>14</v>
      </c>
      <c r="K5" s="3" t="s">
        <v>15</v>
      </c>
      <c r="N5" s="5" t="s">
        <v>16</v>
      </c>
      <c r="O5" s="63"/>
      <c r="P5" s="28"/>
      <c r="U5" t="str">
        <v>Inventive Design</v>
      </c>
      <c r="V5" t="str">
        <v>Thorn Field</v>
      </c>
      <c r="W5" t="str">
        <v>Escalating Fury</v>
      </c>
      <c r="X5" t="str">
        <v>Reckless Experiment</v>
      </c>
      <c r="Y5" t="str">
        <v>Escalating Fury</v>
      </c>
      <c r="Z5" t="str">
        <v>Territory</v>
      </c>
    </row>
    <row r="6" spans="1:26" x14ac:dyDescent="0.25">
      <c r="B6" s="2" t="s">
        <v>17</v>
      </c>
      <c r="C6" s="4" t="s">
        <v>983</v>
      </c>
      <c r="F6" s="2" t="s">
        <v>18</v>
      </c>
      <c r="G6" s="4"/>
      <c r="N6" s="5" t="s">
        <v>19</v>
      </c>
      <c r="O6" s="42" t="str">
        <f>IFERROR(INDEX(Calc!$A$2:$A$375,MATCH($O$5,Calc!$D$2:$D$375,0)),"")</f>
        <v/>
      </c>
      <c r="P6" s="27"/>
      <c r="Q6" s="27"/>
      <c r="R6" s="28"/>
      <c r="U6" t="str">
        <v>Fine Handiwork</v>
      </c>
      <c r="V6" t="str">
        <v>Verdant Resilience</v>
      </c>
      <c r="W6" t="str">
        <v>Shockwave Slam</v>
      </c>
      <c r="X6" t="str">
        <v>Trial and Error</v>
      </c>
      <c r="Y6" t="str">
        <v>Shockwave Slam</v>
      </c>
      <c r="Z6" t="str">
        <v>Restoration</v>
      </c>
    </row>
    <row r="7" spans="1:26" x14ac:dyDescent="0.25">
      <c r="B7" s="2" t="s">
        <v>20</v>
      </c>
      <c r="C7" s="4" t="s">
        <v>180</v>
      </c>
      <c r="F7" s="2" t="s">
        <v>21</v>
      </c>
      <c r="G7" s="4"/>
      <c r="N7" s="5" t="s">
        <v>22</v>
      </c>
      <c r="O7" s="42" t="str">
        <f>IFERROR(INDEX(Calc!$B$2:$B$375,MATCH($O$5,Calc!$D$2:$D$375,0)),"")</f>
        <v/>
      </c>
      <c r="P7" s="27"/>
      <c r="Q7" s="27"/>
      <c r="R7" s="28"/>
      <c r="U7" t="str">
        <v>Overcharge</v>
      </c>
      <c r="V7" t="str">
        <v>Territorial Claim</v>
      </c>
      <c r="W7" t="str">
        <v>Explosive Leap</v>
      </c>
      <c r="X7" t="str">
        <v>Passionate Breakthrough</v>
      </c>
      <c r="Y7" t="str">
        <v>Explosive Leap</v>
      </c>
      <c r="Z7" t="str">
        <v>Instinct</v>
      </c>
    </row>
    <row r="8" spans="1:26" x14ac:dyDescent="0.25">
      <c r="B8" s="2" t="s">
        <v>23</v>
      </c>
      <c r="C8" s="4" t="s">
        <v>192</v>
      </c>
      <c r="F8" s="2" t="s">
        <v>24</v>
      </c>
      <c r="G8" s="4"/>
      <c r="N8" s="5" t="s">
        <v>25</v>
      </c>
      <c r="O8" s="42" t="str">
        <f>IFERROR(INDEX(Calc!$C$2:$C$375,MATCH($O$5,Calc!$D$2:$D$375,0)),"")</f>
        <v/>
      </c>
      <c r="P8" s="27"/>
      <c r="Q8" s="27"/>
      <c r="R8" s="28"/>
      <c r="U8" t="str">
        <v>Experimental Tinkering</v>
      </c>
      <c r="V8" t="str">
        <v>Pack Sense</v>
      </c>
      <c r="W8" t="str">
        <v>Reckless Momentum</v>
      </c>
      <c r="X8" t="str">
        <v>Shared Revelation</v>
      </c>
      <c r="Y8" t="str">
        <v>Reckless Momentum</v>
      </c>
      <c r="Z8" t="str">
        <v>Knowledge</v>
      </c>
    </row>
    <row r="9" spans="1:26" x14ac:dyDescent="0.25">
      <c r="B9" s="2" t="s">
        <v>26</v>
      </c>
      <c r="C9" s="4" t="s">
        <v>183</v>
      </c>
      <c r="F9" s="2" t="s">
        <v>27</v>
      </c>
      <c r="G9" s="6" t="str">
        <f>IF(C9="(None)","",C9)</f>
        <v>Knowledge</v>
      </c>
      <c r="N9" s="5" t="s">
        <v>28</v>
      </c>
      <c r="O9" s="42" t="str">
        <f>IFERROR(INDEX(Calc!$E$2:$E$375,MATCH($O$5,Calc!$D$2:$D$375,0)),"")</f>
        <v/>
      </c>
      <c r="P9" s="27"/>
      <c r="Q9" s="27"/>
      <c r="R9" s="28"/>
      <c r="U9" t="str">
        <v>Overwhelm with Details</v>
      </c>
      <c r="V9" t="str">
        <v>Apex Predator</v>
      </c>
      <c r="W9" t="str">
        <v>Unstoppable</v>
      </c>
      <c r="X9" t="str">
        <v>The Eureka Moment</v>
      </c>
      <c r="Y9" t="str">
        <v>Unstoppable</v>
      </c>
      <c r="Z9" t="str">
        <v>Artifabrian</v>
      </c>
    </row>
    <row r="10" spans="1:26" x14ac:dyDescent="0.25">
      <c r="N10" s="5" t="s">
        <v>29</v>
      </c>
      <c r="O10" s="42" t="str">
        <f>IFERROR(INDEX(Calc!$F$2:$F$375,MATCH($O$5,Calc!$D$2:$D$375,0)),"")</f>
        <v/>
      </c>
      <c r="P10" s="27"/>
      <c r="Q10" s="27"/>
      <c r="R10" s="28"/>
      <c r="U10" t="str">
        <v>Strategize</v>
      </c>
      <c r="V10" t="str">
        <v>Mender's Instinct</v>
      </c>
      <c r="W10" t="str">
        <v>Kindle</v>
      </c>
      <c r="X10" t="str">
        <v>Forbidden Knowledge</v>
      </c>
      <c r="Y10" t="str">
        <v>Kindle</v>
      </c>
      <c r="Z10" t="str">
        <v>Strategist</v>
      </c>
    </row>
    <row r="11" spans="1:26" x14ac:dyDescent="0.25">
      <c r="A11" s="33" t="s">
        <v>30</v>
      </c>
      <c r="B11" s="34"/>
      <c r="C11" s="34"/>
      <c r="D11" s="34"/>
      <c r="E11" s="34"/>
      <c r="F11" s="34"/>
      <c r="G11" s="34"/>
      <c r="H11" s="34"/>
      <c r="I11" s="34"/>
      <c r="J11" s="34"/>
      <c r="K11" s="34"/>
      <c r="L11" s="34"/>
      <c r="N11" s="5" t="s">
        <v>31</v>
      </c>
      <c r="O11" s="42" t="str">
        <f>IFERROR(INDEX(Calc!$G$2:$G$375,MATCH($O$5,Calc!$D$2:$D$375,0)),"")</f>
        <v/>
      </c>
      <c r="P11" s="27"/>
      <c r="Q11" s="27"/>
      <c r="R11" s="28"/>
      <c r="U11" t="str">
        <v>Mind and Body</v>
      </c>
      <c r="V11" t="str">
        <v>Verdant Mend</v>
      </c>
      <c r="W11" t="str">
        <v>Searing Bolt</v>
      </c>
      <c r="X11" t="e">
        <v>#N/A</v>
      </c>
      <c r="Y11" t="str">
        <v>Searing Bolt</v>
      </c>
      <c r="Z11" t="str">
        <v>Surgeon</v>
      </c>
    </row>
    <row r="12" spans="1:26" x14ac:dyDescent="0.25">
      <c r="B12" s="7" t="s">
        <v>32</v>
      </c>
      <c r="C12" s="6">
        <f>INT(($G$5-1)/5)+1</f>
        <v>3</v>
      </c>
      <c r="D12" s="7" t="s">
        <v>33</v>
      </c>
      <c r="E12" s="6">
        <f>INT(($G$5-1)/5)+2</f>
        <v>4</v>
      </c>
      <c r="F12" s="7" t="s">
        <v>34</v>
      </c>
      <c r="G12" s="6">
        <f>12+SUMPRODUCT(({3,6,9,12,15,18}&lt;=$G$5)*1)</f>
        <v>15</v>
      </c>
      <c r="H12" s="7" t="s">
        <v>35</v>
      </c>
      <c r="I12" s="6">
        <f>5+($G$5-1)*2</f>
        <v>25</v>
      </c>
      <c r="J12" s="7" t="s">
        <v>36</v>
      </c>
      <c r="K12" s="6">
        <f>4+$G$5+SUMPRODUCT(({6,11,16}&lt;=$G$5)*1)</f>
        <v>17</v>
      </c>
      <c r="N12" s="8" t="s">
        <v>37</v>
      </c>
      <c r="O12" s="51" t="str">
        <f>IFERROR(INDEX(Calc!$H$2:$H$375,MATCH($O$5,Calc!$D$2:$D$375,0)),"")</f>
        <v/>
      </c>
      <c r="P12" s="52"/>
      <c r="Q12" s="52"/>
      <c r="R12" s="53"/>
      <c r="U12" t="str">
        <v>Composed</v>
      </c>
      <c r="V12" t="str">
        <v>Root and Branch</v>
      </c>
      <c r="W12" t="str">
        <v>Flame Surge</v>
      </c>
      <c r="X12" t="e">
        <v>#N/A</v>
      </c>
      <c r="Y12" t="str">
        <v>Flame Surge</v>
      </c>
      <c r="Z12" t="e">
        <v>#N/A</v>
      </c>
    </row>
    <row r="13" spans="1:26" x14ac:dyDescent="0.25">
      <c r="O13" s="54"/>
      <c r="P13" s="39"/>
      <c r="Q13" s="39"/>
      <c r="R13" s="55"/>
      <c r="U13" t="str">
        <v>Know Your Moment</v>
      </c>
      <c r="V13" t="str">
        <v>Natural Recovery</v>
      </c>
      <c r="W13" t="str">
        <v>Arc Flash</v>
      </c>
      <c r="X13" t="e">
        <v>#N/A</v>
      </c>
      <c r="Y13" t="str">
        <v>Arc Flash</v>
      </c>
      <c r="Z13" t="e">
        <v>#N/A</v>
      </c>
    </row>
    <row r="14" spans="1:26" x14ac:dyDescent="0.25">
      <c r="A14" s="29" t="s">
        <v>38</v>
      </c>
      <c r="B14" s="30"/>
      <c r="C14" s="30"/>
      <c r="D14" s="30"/>
      <c r="E14" s="30"/>
      <c r="F14" s="30"/>
      <c r="G14" s="30"/>
      <c r="H14" s="30"/>
      <c r="I14" s="30"/>
      <c r="J14" s="30"/>
      <c r="K14" s="30"/>
      <c r="L14" s="30"/>
      <c r="O14" s="56"/>
      <c r="P14" s="57"/>
      <c r="Q14" s="57"/>
      <c r="R14" s="58"/>
      <c r="U14" t="str">
        <v>Deep Contemplation</v>
      </c>
      <c r="V14" t="str">
        <v>Hardy</v>
      </c>
      <c r="W14" t="str">
        <v>Backblast</v>
      </c>
      <c r="X14" t="e">
        <v>#N/A</v>
      </c>
      <c r="Y14" t="str">
        <v>Backblast</v>
      </c>
      <c r="Z14" t="e">
        <v>#N/A</v>
      </c>
    </row>
    <row r="15" spans="1:26" ht="25.5" x14ac:dyDescent="0.25">
      <c r="B15" s="7" t="s">
        <v>39</v>
      </c>
      <c r="D15" s="7" t="s">
        <v>40</v>
      </c>
      <c r="F15" s="7" t="s">
        <v>41</v>
      </c>
      <c r="H15" s="7" t="s">
        <v>42</v>
      </c>
      <c r="J15" s="7" t="s">
        <v>43</v>
      </c>
      <c r="L15" s="7" t="s">
        <v>44</v>
      </c>
      <c r="U15" t="str">
        <v>Keen Insight</v>
      </c>
      <c r="V15" t="str">
        <v>Collected</v>
      </c>
      <c r="W15" t="str">
        <v>Mighty</v>
      </c>
      <c r="X15" t="e">
        <v>#N/A</v>
      </c>
      <c r="Y15" t="str">
        <v>Mighty</v>
      </c>
      <c r="Z15" t="e">
        <v>#N/A</v>
      </c>
    </row>
    <row r="16" spans="1:26" x14ac:dyDescent="0.25">
      <c r="B16" s="4">
        <v>2</v>
      </c>
      <c r="D16" s="4">
        <v>2</v>
      </c>
      <c r="F16" s="4">
        <v>3</v>
      </c>
      <c r="H16" s="4">
        <v>1</v>
      </c>
      <c r="J16" s="4">
        <v>4</v>
      </c>
      <c r="L16" s="4">
        <v>2</v>
      </c>
      <c r="N16" s="5" t="s">
        <v>45</v>
      </c>
      <c r="O16" s="9" t="str">
        <f>IFERROR(INDEX(Calc!$I$2:$I$375,MATCH($O$5,Calc!$D$2:$D$375,0)),"")</f>
        <v/>
      </c>
      <c r="U16" t="str">
        <v>Contingency</v>
      </c>
      <c r="V16" t="str">
        <v>Reknit Form</v>
      </c>
      <c r="W16" t="str">
        <v>Afterburn</v>
      </c>
      <c r="X16" t="e">
        <v>#N/A</v>
      </c>
      <c r="Y16" t="str">
        <v>Afterburn</v>
      </c>
      <c r="Z16" t="e">
        <v>#N/A</v>
      </c>
    </row>
    <row r="17" spans="1:26" x14ac:dyDescent="0.25">
      <c r="B17" s="10" t="s">
        <v>46</v>
      </c>
      <c r="C17" s="11">
        <f>B16+D16+F16+H16+J16+L16</f>
        <v>14</v>
      </c>
      <c r="E17" s="10" t="s">
        <v>47</v>
      </c>
      <c r="F17" s="11">
        <f>$G$12</f>
        <v>15</v>
      </c>
      <c r="H17" s="10" t="s">
        <v>48</v>
      </c>
      <c r="I17" s="12">
        <f>F17-C17</f>
        <v>1</v>
      </c>
      <c r="U17" t="str">
        <v>Turning Point</v>
      </c>
      <c r="V17" t="str">
        <v>Vital Surge</v>
      </c>
      <c r="W17" t="str">
        <v>Chain Detonation</v>
      </c>
      <c r="X17" t="e">
        <v>#N/A</v>
      </c>
      <c r="Y17" t="str">
        <v>Chain Detonation</v>
      </c>
      <c r="Z17" t="e">
        <v>#N/A</v>
      </c>
    </row>
    <row r="18" spans="1:26" x14ac:dyDescent="0.25">
      <c r="B18" s="38" t="s">
        <v>49</v>
      </c>
      <c r="C18" s="39"/>
      <c r="D18" s="39"/>
      <c r="E18" s="39"/>
      <c r="F18" s="39"/>
      <c r="G18" s="39"/>
      <c r="H18" s="39"/>
      <c r="I18" s="39"/>
      <c r="J18" s="39"/>
      <c r="K18" s="39"/>
      <c r="L18" s="39"/>
      <c r="N18" s="65" t="s">
        <v>50</v>
      </c>
      <c r="O18" s="66"/>
      <c r="P18" s="66"/>
      <c r="Q18" s="66"/>
      <c r="R18" s="66"/>
      <c r="U18" t="str">
        <v>Field Medicine</v>
      </c>
      <c r="V18" t="str">
        <v>Predator's Instinct</v>
      </c>
      <c r="W18" t="str">
        <v>Incite</v>
      </c>
      <c r="X18" t="e">
        <v>#N/A</v>
      </c>
      <c r="Y18" t="str">
        <v>Incite</v>
      </c>
      <c r="Z18" t="e">
        <v>#N/A</v>
      </c>
    </row>
    <row r="19" spans="1:26" x14ac:dyDescent="0.25">
      <c r="N19" s="5" t="s">
        <v>51</v>
      </c>
      <c r="O19" s="4" t="s">
        <v>983</v>
      </c>
      <c r="U19" t="str">
        <v>Emotional Intelligence</v>
      </c>
      <c r="V19" t="str">
        <v>Pack Hunter</v>
      </c>
      <c r="W19" t="str">
        <v>Emotional Overload</v>
      </c>
      <c r="X19" t="e">
        <v>#N/A</v>
      </c>
      <c r="Y19" t="str">
        <v>Emotional Overload</v>
      </c>
      <c r="Z19" t="e">
        <v>#N/A</v>
      </c>
    </row>
    <row r="20" spans="1:26" x14ac:dyDescent="0.25">
      <c r="A20" s="29" t="s">
        <v>52</v>
      </c>
      <c r="B20" s="30"/>
      <c r="C20" s="30"/>
      <c r="D20" s="30"/>
      <c r="E20" s="30"/>
      <c r="F20" s="30"/>
      <c r="G20" s="30"/>
      <c r="H20" s="30"/>
      <c r="I20" s="30"/>
      <c r="J20" s="30"/>
      <c r="K20" s="30"/>
      <c r="L20" s="30"/>
      <c r="N20" s="7" t="s">
        <v>53</v>
      </c>
      <c r="O20" s="7" t="s">
        <v>54</v>
      </c>
      <c r="P20" s="7" t="s">
        <v>55</v>
      </c>
      <c r="Q20" s="7" t="s">
        <v>56</v>
      </c>
      <c r="R20" s="7" t="s">
        <v>57</v>
      </c>
      <c r="S20" s="7" t="s">
        <v>58</v>
      </c>
      <c r="U20" t="str">
        <v>Anatomical Insight</v>
      </c>
      <c r="V20" t="str">
        <v>Scent the Weak</v>
      </c>
      <c r="W20" t="str">
        <v>Battle Fever</v>
      </c>
      <c r="X20" t="e">
        <v>#N/A</v>
      </c>
      <c r="Y20" t="str">
        <v>Battle Fever</v>
      </c>
      <c r="Z20" t="e">
        <v>#N/A</v>
      </c>
    </row>
    <row r="21" spans="1:26" ht="38.25" x14ac:dyDescent="0.25">
      <c r="B21" s="7" t="s">
        <v>59</v>
      </c>
      <c r="D21" s="7" t="s">
        <v>60</v>
      </c>
      <c r="F21" s="7" t="s">
        <v>61</v>
      </c>
      <c r="H21" s="7" t="s">
        <v>62</v>
      </c>
      <c r="J21" s="7" t="s">
        <v>63</v>
      </c>
      <c r="N21" s="13" t="str">
        <f>IFERROR(INDEX(_xlfn._xlws.FILTER(Calc!$D$2:$D$375,Calc!$B$2:$B$375=$O$19),1),"")</f>
        <v>Erudition</v>
      </c>
      <c r="O21" s="14" t="str">
        <f>IFERROR(INDEX(_xlfn._xlws.FILTER(Calc!$C$2:$C$375,Calc!$B$2:$B$375=$O$19),1),"")</f>
        <v>Key</v>
      </c>
      <c r="P21" s="14" t="str">
        <f>IFERROR(INDEX(_xlfn._xlws.FILTER(Calc!$E$2:$E$375,Calc!$B$2:$B$375=$O$19),1),"")</f>
        <v>★</v>
      </c>
      <c r="Q21" s="14">
        <f>IFERROR(INDEX(_xlfn._xlws.FILTER(Calc!$F$2:$F$375,Calc!$B$2:$B$375=$O$19),1),"")</f>
        <v>0</v>
      </c>
      <c r="R21" s="15" t="str">
        <f>IFERROR(INDEX(_xlfn._xlws.FILTER(Calc!$H$2:$H$375,Calc!$B$2:$B$375=$O$19),1),"")</f>
        <v>Temporarily gain a cultural or utility expertise and a rank in two non-invested cognitive skills. Reassign these after a long rest with library access.</v>
      </c>
      <c r="S21" s="13">
        <f>IFERROR(INDEX(_xlfn._xlws.FILTER(Calc!$G$2:$G$375,Calc!$B$2:$B$375=$O$19),1),"")</f>
        <v>0</v>
      </c>
      <c r="U21" t="str">
        <v>Collected</v>
      </c>
      <c r="V21" t="str">
        <v>Pack Pressure</v>
      </c>
      <c r="W21" t="str">
        <v>Shatter Focus</v>
      </c>
      <c r="X21" t="e">
        <v>#N/A</v>
      </c>
      <c r="Y21" t="str">
        <v>Shatter Focus</v>
      </c>
      <c r="Z21" t="e">
        <v>#N/A</v>
      </c>
    </row>
    <row r="22" spans="1:26" ht="51" x14ac:dyDescent="0.25">
      <c r="B22" s="6">
        <f>10+$B$16+$D$16</f>
        <v>14</v>
      </c>
      <c r="D22" s="6">
        <f>10+$F$16+$H$16</f>
        <v>14</v>
      </c>
      <c r="F22" s="6">
        <f>10+$J$16+$L$16</f>
        <v>16</v>
      </c>
      <c r="H22" s="6">
        <f>10+$B$16+($G$5-1)*5+IF($G$5&gt;=6,$B$16-1,0)+IF($G$5&gt;=11,$B$16-2,0)+IF($G$5&gt;=16,$B$16-3,0)</f>
        <v>63</v>
      </c>
      <c r="J22" s="6">
        <f>2+$H$16</f>
        <v>3</v>
      </c>
      <c r="N22" s="13" t="str">
        <f>IFERROR(INDEX(_xlfn._xlws.FILTER(Calc!$D$2:$D$375,Calc!$B$2:$B$375=$O$19),2),"")</f>
        <v>Efficient Engineer</v>
      </c>
      <c r="O22" s="14" t="str">
        <f>IFERROR(INDEX(_xlfn._xlws.FILTER(Calc!$C$2:$C$375,Calc!$B$2:$B$375=$O$19),2),"")</f>
        <v>Artifabrian</v>
      </c>
      <c r="P22" s="14" t="str">
        <f>IFERROR(INDEX(_xlfn._xlws.FILTER(Calc!$E$2:$E$375,Calc!$B$2:$B$375=$O$19),2),"")</f>
        <v>∞</v>
      </c>
      <c r="Q22" s="14">
        <f>IFERROR(INDEX(_xlfn._xlws.FILTER(Calc!$F$2:$F$375,Calc!$B$2:$B$375=$O$19),2),"")</f>
        <v>0</v>
      </c>
      <c r="R22" s="15" t="str">
        <f>IFERROR(INDEX(_xlfn._xlws.FILTER(Calc!$H$2:$H$375,Calc!$B$2:$B$375=$O$19),2),"")</f>
        <v>Gain expertise in Armor Crafting, Equipment Crafting, or Weapon Crafting, and gain a fabrial. When crafting, your Opportunity range expands by 2 and your material cost is halved.</v>
      </c>
      <c r="S22" s="13" t="str">
        <f>IFERROR(INDEX(_xlfn._xlws.FILTER(Calc!$G$2:$G$375,Calc!$B$2:$B$375=$O$19),2),"")</f>
        <v>Crafting 1+</v>
      </c>
      <c r="U22" t="str">
        <v>Swift Healer</v>
      </c>
      <c r="V22" t="str">
        <v>Primal Sight</v>
      </c>
      <c r="W22" t="str">
        <v>Reckless Gambit</v>
      </c>
      <c r="X22" t="e">
        <v>#N/A</v>
      </c>
      <c r="Y22" t="str">
        <v>Reckless Gambit</v>
      </c>
      <c r="Z22" t="e">
        <v>#N/A</v>
      </c>
    </row>
    <row r="23" spans="1:26" ht="38.25" x14ac:dyDescent="0.25">
      <c r="B23" s="7" t="s">
        <v>64</v>
      </c>
      <c r="D23" s="7" t="s">
        <v>65</v>
      </c>
      <c r="F23" s="7" t="s">
        <v>66</v>
      </c>
      <c r="H23" s="7" t="s">
        <v>67</v>
      </c>
      <c r="J23" s="7" t="s">
        <v>68</v>
      </c>
      <c r="N23" s="13" t="str">
        <f>IFERROR(INDEX(_xlfn._xlws.FILTER(Calc!$D$2:$D$375,Calc!$B$2:$B$375=$O$19),3),"")</f>
        <v>Prized Acquisition</v>
      </c>
      <c r="O23" s="14" t="str">
        <f>IFERROR(INDEX(_xlfn._xlws.FILTER(Calc!$C$2:$C$375,Calc!$B$2:$B$375=$O$19),3),"")</f>
        <v>Artifabrian</v>
      </c>
      <c r="P23" s="14" t="str">
        <f>IFERROR(INDEX(_xlfn._xlws.FILTER(Calc!$E$2:$E$375,Calc!$B$2:$B$375=$O$19),3),"")</f>
        <v>★</v>
      </c>
      <c r="Q23" s="14">
        <f>IFERROR(INDEX(_xlfn._xlws.FILTER(Calc!$F$2:$F$375,Calc!$B$2:$B$375=$O$19),3),"")</f>
        <v>0</v>
      </c>
      <c r="R23" s="15" t="str">
        <f>IFERROR(INDEX(_xlfn._xlws.FILTER(Calc!$H$2:$H$375,Calc!$B$2:$B$375=$O$19),3),"")</f>
        <v>Gain Fabrial Crafting expertise. Gain a ê gem you can immediately use to craft a fabrial of your tier. You can reuse this gem for new fabrials.</v>
      </c>
      <c r="S23" s="13">
        <f>IFERROR(INDEX(_xlfn._xlws.FILTER(Calc!$G$2:$G$375,Calc!$B$2:$B$375=$O$19),3),"")</f>
        <v>0</v>
      </c>
      <c r="U23" t="str">
        <v>Applied Medicine</v>
      </c>
      <c r="V23" t="str">
        <v>Surefooted</v>
      </c>
      <c r="W23" t="str">
        <v>Contagious Fury</v>
      </c>
      <c r="X23" t="e">
        <v>#N/A</v>
      </c>
      <c r="Y23" t="str">
        <v>Contagious Fury</v>
      </c>
      <c r="Z23" t="e">
        <v>#N/A</v>
      </c>
    </row>
    <row r="24" spans="1:26" ht="25.5" x14ac:dyDescent="0.25">
      <c r="B24" s="6">
        <f>2+MAX($J$16,$L$16)</f>
        <v>6</v>
      </c>
      <c r="D24" s="6" t="str">
        <f>20+$D$16*5&amp;" ft"</f>
        <v>30 ft</v>
      </c>
      <c r="F24" s="6" t="str">
        <f>INDEX(Reference!$B$51:$B$58,MATCH($H$16,Reference!$A$51:$A$58,1))</f>
        <v>d4</v>
      </c>
      <c r="H24" s="6" t="str">
        <f>INDEX(Reference!$E$51:$E$57,MATCH($J$16,Reference!$D$51:$D$57,1))</f>
        <v>25 ft</v>
      </c>
      <c r="J24" s="6">
        <f>$B$16</f>
        <v>2</v>
      </c>
      <c r="N24" s="13" t="str">
        <f>IFERROR(INDEX(_xlfn._xlws.FILTER(Calc!$D$2:$D$375,Calc!$B$2:$B$375=$O$19),4),"")</f>
        <v>Deep Study</v>
      </c>
      <c r="O24" s="14" t="str">
        <f>IFERROR(INDEX(_xlfn._xlws.FILTER(Calc!$C$2:$C$375,Calc!$B$2:$B$375=$O$19),4),"")</f>
        <v>Artifabrian</v>
      </c>
      <c r="P24" s="14" t="str">
        <f>IFERROR(INDEX(_xlfn._xlws.FILTER(Calc!$E$2:$E$375,Calc!$B$2:$B$375=$O$19),4),"")</f>
        <v>∞</v>
      </c>
      <c r="Q24" s="14">
        <f>IFERROR(INDEX(_xlfn._xlws.FILTER(Calc!$F$2:$F$375,Calc!$B$2:$B$375=$O$19),4),"")</f>
        <v>0</v>
      </c>
      <c r="R24" s="15" t="str">
        <f>IFERROR(INDEX(_xlfn._xlws.FILTER(Calc!$H$2:$H$375,Calc!$B$2:$B$375=$O$19),4),"")</f>
        <v>Erudition grants you an additional cultural or utility expertise and two additional non-invested cognitive skills.</v>
      </c>
      <c r="S24" s="13">
        <f>IFERROR(INDEX(_xlfn._xlws.FILTER(Calc!$G$2:$G$375,Calc!$B$2:$B$375=$O$19),4),"")</f>
        <v>0</v>
      </c>
      <c r="U24" t="str">
        <v>Ongoing Care</v>
      </c>
      <c r="V24" t="str">
        <v>Packmate's Warning</v>
      </c>
      <c r="W24" t="str">
        <v>Frenzied Tempo</v>
      </c>
      <c r="X24" t="e">
        <v>#N/A</v>
      </c>
      <c r="Y24" t="str">
        <v>Frenzied Tempo</v>
      </c>
      <c r="Z24" t="e">
        <v>#N/A</v>
      </c>
    </row>
    <row r="25" spans="1:26" ht="25.5" x14ac:dyDescent="0.25">
      <c r="N25" s="13" t="str">
        <f>IFERROR(INDEX(_xlfn._xlws.FILTER(Calc!$D$2:$D$375,Calc!$B$2:$B$375=$O$19),5),"")</f>
        <v>Inventive Design</v>
      </c>
      <c r="O25" s="14" t="str">
        <f>IFERROR(INDEX(_xlfn._xlws.FILTER(Calc!$C$2:$C$375,Calc!$B$2:$B$375=$O$19),5),"")</f>
        <v>Artifabrian</v>
      </c>
      <c r="P25" s="14" t="str">
        <f>IFERROR(INDEX(_xlfn._xlws.FILTER(Calc!$E$2:$E$375,Calc!$B$2:$B$375=$O$19),5),"")</f>
        <v>∞</v>
      </c>
      <c r="Q25" s="14">
        <f>IFERROR(INDEX(_xlfn._xlws.FILTER(Calc!$F$2:$F$375,Calc!$B$2:$B$375=$O$19),5),"")</f>
        <v>0</v>
      </c>
      <c r="R25" s="15" t="str">
        <f>IFERROR(INDEX(_xlfn._xlws.FILTER(Calc!$H$2:$H$375,Calc!$B$2:$B$375=$O$19),5),"")</f>
        <v>Your Prized Acquisition fabrial can have an effect 1 tier higher than the tier you're currently crafting.</v>
      </c>
      <c r="S25" s="13" t="str">
        <f>IFERROR(INDEX(_xlfn._xlws.FILTER(Calc!$G$2:$G$375,Calc!$B$2:$B$375=$O$19),5),"")</f>
        <v>Prized Acquisition; Crafting 2+</v>
      </c>
      <c r="U25" t="str">
        <v>Resuscitation</v>
      </c>
      <c r="V25" t="str">
        <v>Natural Order</v>
      </c>
      <c r="W25" t="str">
        <v>Tyrant's Crescendo</v>
      </c>
      <c r="X25" t="e">
        <v>#N/A</v>
      </c>
      <c r="Y25" t="str">
        <v>Tyrant's Crescendo</v>
      </c>
      <c r="Z25" t="e">
        <v>#N/A</v>
      </c>
    </row>
    <row r="26" spans="1:26" ht="25.5" x14ac:dyDescent="0.25">
      <c r="A26" s="29" t="s">
        <v>69</v>
      </c>
      <c r="B26" s="30"/>
      <c r="C26" s="30"/>
      <c r="D26" s="30"/>
      <c r="E26" s="30"/>
      <c r="F26" s="30"/>
      <c r="G26" s="30"/>
      <c r="H26" s="30"/>
      <c r="I26" s="30"/>
      <c r="J26" s="30"/>
      <c r="K26" s="30"/>
      <c r="L26" s="30"/>
      <c r="N26" s="13" t="str">
        <f>IFERROR(INDEX(_xlfn._xlws.FILTER(Calc!$D$2:$D$375,Calc!$B$2:$B$375=$O$19),6),"")</f>
        <v>Fine Handiwork</v>
      </c>
      <c r="O26" s="14" t="str">
        <f>IFERROR(INDEX(_xlfn._xlws.FILTER(Calc!$C$2:$C$375,Calc!$B$2:$B$375=$O$19),6),"")</f>
        <v>Artifabrian</v>
      </c>
      <c r="P26" s="14" t="str">
        <f>IFERROR(INDEX(_xlfn._xlws.FILTER(Calc!$E$2:$E$375,Calc!$B$2:$B$375=$O$19),6),"")</f>
        <v>★</v>
      </c>
      <c r="Q26" s="14">
        <f>IFERROR(INDEX(_xlfn._xlws.FILTER(Calc!$F$2:$F$375,Calc!$B$2:$B$375=$O$19),6),"")</f>
        <v>0</v>
      </c>
      <c r="R26" s="15" t="str">
        <f>IFERROR(INDEX(_xlfn._xlws.FILTER(Calc!$H$2:$H$375,Calc!$B$2:$B$375=$O$19),6),"")</f>
        <v>When crafting, advanced features cost one upgrade instead of two.</v>
      </c>
      <c r="S26" s="13" t="str">
        <f>IFERROR(INDEX(_xlfn._xlws.FILTER(Calc!$G$2:$G$375,Calc!$B$2:$B$375=$O$19),6),"")</f>
        <v>Efficient Engineer</v>
      </c>
      <c r="U26" t="e">
        <v>#N/A</v>
      </c>
      <c r="V26" t="e">
        <v>#N/A</v>
      </c>
      <c r="W26" t="e">
        <v>#N/A</v>
      </c>
      <c r="X26" t="e">
        <v>#N/A</v>
      </c>
      <c r="Y26" t="str">
        <v>Primal Awareness</v>
      </c>
      <c r="Z26" t="e">
        <v>#N/A</v>
      </c>
    </row>
    <row r="27" spans="1:26" ht="38.25" x14ac:dyDescent="0.25">
      <c r="A27" s="43" t="s">
        <v>70</v>
      </c>
      <c r="B27" s="34"/>
      <c r="C27" s="34"/>
      <c r="D27" s="34"/>
      <c r="E27" s="43" t="s">
        <v>71</v>
      </c>
      <c r="F27" s="34"/>
      <c r="G27" s="34"/>
      <c r="H27" s="34"/>
      <c r="I27" s="43" t="s">
        <v>72</v>
      </c>
      <c r="J27" s="34"/>
      <c r="K27" s="34"/>
      <c r="L27" s="34"/>
      <c r="N27" s="13" t="str">
        <f>IFERROR(INDEX(_xlfn._xlws.FILTER(Calc!$D$2:$D$375,Calc!$B$2:$B$375=$O$19),7),"")</f>
        <v>Overcharge</v>
      </c>
      <c r="O27" s="14" t="str">
        <f>IFERROR(INDEX(_xlfn._xlws.FILTER(Calc!$C$2:$C$375,Calc!$B$2:$B$375=$O$19),7),"")</f>
        <v>Artifabrian</v>
      </c>
      <c r="P27" s="14" t="str">
        <f>IFERROR(INDEX(_xlfn._xlws.FILTER(Calc!$E$2:$E$375,Calc!$B$2:$B$375=$O$19),7),"")</f>
        <v>★</v>
      </c>
      <c r="Q27" s="14">
        <f>IFERROR(INDEX(_xlfn._xlws.FILTER(Calc!$F$2:$F$375,Calc!$B$2:$B$375=$O$19),7),"")</f>
        <v>0</v>
      </c>
      <c r="R27" s="15" t="str">
        <f>IFERROR(INDEX(_xlfn._xlws.FILTER(Calc!$H$2:$H$375,Calc!$B$2:$B$375=$O$19),7),"")</f>
        <v>Once per turn, you can raise the stakes on a fabrial attack, then spend Opportunity to Strike with that fabrial as a Free Action.</v>
      </c>
      <c r="S27" s="13" t="str">
        <f>IFERROR(INDEX(_xlfn._xlws.FILTER(Calc!$G$2:$G$375,Calc!$B$2:$B$375=$O$19),7),"")</f>
        <v>Prized Acquisition; Crafting 3+</v>
      </c>
      <c r="U27" t="e">
        <v>#N/A</v>
      </c>
      <c r="V27" t="e">
        <v>#N/A</v>
      </c>
      <c r="W27" t="e">
        <v>#N/A</v>
      </c>
      <c r="X27" t="e">
        <v>#N/A</v>
      </c>
      <c r="Y27" t="str">
        <v>Grasping Vines</v>
      </c>
      <c r="Z27" t="e">
        <v>#N/A</v>
      </c>
    </row>
    <row r="28" spans="1:26" ht="51" x14ac:dyDescent="0.25">
      <c r="A28" s="7" t="s">
        <v>73</v>
      </c>
      <c r="B28" s="7" t="s">
        <v>74</v>
      </c>
      <c r="C28" s="7" t="s">
        <v>75</v>
      </c>
      <c r="D28" s="7" t="s">
        <v>76</v>
      </c>
      <c r="E28" s="7" t="s">
        <v>73</v>
      </c>
      <c r="F28" s="7" t="s">
        <v>74</v>
      </c>
      <c r="G28" s="7" t="s">
        <v>75</v>
      </c>
      <c r="H28" s="7" t="s">
        <v>76</v>
      </c>
      <c r="I28" s="7" t="s">
        <v>73</v>
      </c>
      <c r="J28" s="7" t="s">
        <v>74</v>
      </c>
      <c r="K28" s="7" t="s">
        <v>75</v>
      </c>
      <c r="L28" s="7" t="s">
        <v>76</v>
      </c>
      <c r="N28" s="13" t="str">
        <f>IFERROR(INDEX(_xlfn._xlws.FILTER(Calc!$D$2:$D$375,Calc!$B$2:$B$375=$O$19),8),"")</f>
        <v>Experimental Tinkering</v>
      </c>
      <c r="O28" s="14" t="str">
        <f>IFERROR(INDEX(_xlfn._xlws.FILTER(Calc!$C$2:$C$375,Calc!$B$2:$B$375=$O$19),8),"")</f>
        <v>Artifabrian</v>
      </c>
      <c r="P28" s="14" t="str">
        <f>IFERROR(INDEX(_xlfn._xlws.FILTER(Calc!$E$2:$E$375,Calc!$B$2:$B$375=$O$19),8),"")</f>
        <v>★</v>
      </c>
      <c r="Q28" s="14">
        <f>IFERROR(INDEX(_xlfn._xlws.FILTER(Calc!$F$2:$F$375,Calc!$B$2:$B$375=$O$19),8),"")</f>
        <v>0</v>
      </c>
      <c r="R28" s="15" t="str">
        <f>IFERROR(INDEX(_xlfn._xlws.FILTER(Calc!$H$2:$H$375,Calc!$B$2:$B$375=$O$19),8),"")</f>
        <v>When crafting, your Opportunity range expands by 1 and your crafting time is halved. During a long rest, you can reconfigure your Prized Acquisition fabrial to a different fabrial.</v>
      </c>
      <c r="S28" s="13" t="str">
        <f>IFERROR(INDEX(_xlfn._xlws.FILTER(Calc!$G$2:$G$375,Calc!$B$2:$B$375=$O$19),8),"")</f>
        <v>Fine Handiwork</v>
      </c>
      <c r="U28" t="e">
        <v>#N/A</v>
      </c>
      <c r="V28" t="e">
        <v>#N/A</v>
      </c>
      <c r="W28" t="e">
        <v>#N/A</v>
      </c>
      <c r="X28" t="e">
        <v>#N/A</v>
      </c>
      <c r="Y28" t="str">
        <v>Territorial Instinct</v>
      </c>
      <c r="Z28" t="e">
        <v>#N/A</v>
      </c>
    </row>
    <row r="29" spans="1:26" ht="25.5" x14ac:dyDescent="0.25">
      <c r="A29" s="16" t="s">
        <v>77</v>
      </c>
      <c r="B29" s="4">
        <v>0</v>
      </c>
      <c r="C29" s="6">
        <f>$D$16+B29</f>
        <v>2</v>
      </c>
      <c r="D29" s="17">
        <f t="shared" ref="D29:D35" si="0">$E$12</f>
        <v>4</v>
      </c>
      <c r="E29" s="16" t="s">
        <v>78</v>
      </c>
      <c r="F29" s="4">
        <v>0</v>
      </c>
      <c r="G29" s="6">
        <f>$F$16+F29</f>
        <v>3</v>
      </c>
      <c r="H29" s="17">
        <f t="shared" ref="H29:H35" si="1">$E$12</f>
        <v>4</v>
      </c>
      <c r="I29" s="16" t="s">
        <v>79</v>
      </c>
      <c r="J29" s="4">
        <v>0</v>
      </c>
      <c r="K29" s="6">
        <f>$L$16+J29</f>
        <v>2</v>
      </c>
      <c r="L29" s="17">
        <f t="shared" ref="L29:L35" si="2">$E$12</f>
        <v>4</v>
      </c>
      <c r="N29" s="13" t="str">
        <f>IFERROR(INDEX(_xlfn._xlws.FILTER(Calc!$D$2:$D$375,Calc!$B$2:$B$375=$O$19),9),"")</f>
        <v>Overwhelm with Details</v>
      </c>
      <c r="O29" s="14" t="str">
        <f>IFERROR(INDEX(_xlfn._xlws.FILTER(Calc!$C$2:$C$375,Calc!$B$2:$B$375=$O$19),9),"")</f>
        <v>Artifabrian</v>
      </c>
      <c r="P29" s="14" t="str">
        <f>IFERROR(INDEX(_xlfn._xlws.FILTER(Calc!$E$2:$E$375,Calc!$B$2:$B$375=$O$19),9),"")</f>
        <v>★</v>
      </c>
      <c r="Q29" s="14" t="str">
        <f>IFERROR(INDEX(_xlfn._xlws.FILTER(Calc!$F$2:$F$375,Calc!$B$2:$B$375=$O$19),9),"")</f>
        <v>2 Focus</v>
      </c>
      <c r="R29" s="15" t="str">
        <f>IFERROR(INDEX(_xlfn._xlws.FILTER(Calc!$H$2:$H$375,Calc!$B$2:$B$375=$O$19),9),"")</f>
        <v>Spend 2 focus to use your Lore modifier on another cognitive or spiritual test.</v>
      </c>
      <c r="S29" s="13" t="str">
        <f>IFERROR(INDEX(_xlfn._xlws.FILTER(Calc!$G$2:$G$375,Calc!$B$2:$B$375=$O$19),9),"")</f>
        <v>Experimental Tinkering; Lore 3+</v>
      </c>
      <c r="U29" t="e">
        <v>#N/A</v>
      </c>
      <c r="V29" t="e">
        <v>#N/A</v>
      </c>
      <c r="W29" t="e">
        <v>#N/A</v>
      </c>
      <c r="X29" t="e">
        <v>#N/A</v>
      </c>
      <c r="Y29" t="str">
        <v>Thorn Field</v>
      </c>
      <c r="Z29" t="e">
        <v>#N/A</v>
      </c>
    </row>
    <row r="30" spans="1:26" ht="46.5" customHeight="1" x14ac:dyDescent="0.25">
      <c r="A30" s="16" t="s">
        <v>80</v>
      </c>
      <c r="B30" s="4">
        <v>0</v>
      </c>
      <c r="C30" s="6">
        <f>$B$16+B30</f>
        <v>2</v>
      </c>
      <c r="D30" s="17">
        <f t="shared" si="0"/>
        <v>4</v>
      </c>
      <c r="E30" s="16" t="s">
        <v>81</v>
      </c>
      <c r="F30" s="4">
        <v>3</v>
      </c>
      <c r="G30" s="6">
        <f>$F$16+F30</f>
        <v>6</v>
      </c>
      <c r="H30" s="17">
        <f t="shared" si="1"/>
        <v>4</v>
      </c>
      <c r="I30" s="16" t="s">
        <v>82</v>
      </c>
      <c r="J30" s="4">
        <v>3</v>
      </c>
      <c r="K30" s="6">
        <f>$J$16+J30</f>
        <v>7</v>
      </c>
      <c r="L30" s="17">
        <f t="shared" si="2"/>
        <v>4</v>
      </c>
      <c r="N30" s="13" t="str">
        <f>IFERROR(INDEX(_xlfn._xlws.FILTER(Calc!$D$2:$D$375,Calc!$B$2:$B$375=$O$19),10),"")</f>
        <v>Strategize</v>
      </c>
      <c r="O30" s="14" t="str">
        <f>IFERROR(INDEX(_xlfn._xlws.FILTER(Calc!$C$2:$C$375,Calc!$B$2:$B$375=$O$19),10),"")</f>
        <v>Strategist</v>
      </c>
      <c r="P30" s="14" t="str">
        <f>IFERROR(INDEX(_xlfn._xlws.FILTER(Calc!$E$2:$E$375,Calc!$B$2:$B$375=$O$19),10),"")</f>
        <v>★</v>
      </c>
      <c r="Q30" s="14" t="str">
        <f>IFERROR(INDEX(_xlfn._xlws.FILTER(Calc!$F$2:$F$375,Calc!$B$2:$B$375=$O$19),10),"")</f>
        <v>2 Focus</v>
      </c>
      <c r="R30" s="15" t="str">
        <f>IFERROR(INDEX(_xlfn._xlws.FILTER(Calc!$H$2:$H$375,Calc!$B$2:$B$375=$O$19),10),"")</f>
        <v>After you Gain Advantage using an Erudition skill, grant that advantage to an ally instead. You can spend 2 focus to also prevent the target from using reactions against that ally.</v>
      </c>
      <c r="S30" s="13" t="str">
        <f>IFERROR(INDEX(_xlfn._xlws.FILTER(Calc!$G$2:$G$375,Calc!$B$2:$B$375=$O$19),10),"")</f>
        <v>Deduction 1+</v>
      </c>
      <c r="U30" t="e">
        <v>#N/A</v>
      </c>
      <c r="V30" t="e">
        <v>#N/A</v>
      </c>
      <c r="W30" t="e">
        <v>#N/A</v>
      </c>
      <c r="X30" t="e">
        <v>#N/A</v>
      </c>
      <c r="Y30" t="str">
        <v>Verdant Resilience</v>
      </c>
      <c r="Z30" t="e">
        <v>#N/A</v>
      </c>
    </row>
    <row r="31" spans="1:26" ht="38.25" x14ac:dyDescent="0.25">
      <c r="A31" s="16" t="s">
        <v>83</v>
      </c>
      <c r="B31" s="4">
        <v>0</v>
      </c>
      <c r="C31" s="6">
        <f>$B$16+B31</f>
        <v>2</v>
      </c>
      <c r="D31" s="17">
        <f t="shared" si="0"/>
        <v>4</v>
      </c>
      <c r="E31" s="16" t="s">
        <v>84</v>
      </c>
      <c r="F31" s="4">
        <v>0</v>
      </c>
      <c r="G31" s="6">
        <f>$H$16+F31</f>
        <v>1</v>
      </c>
      <c r="H31" s="17">
        <f t="shared" si="1"/>
        <v>4</v>
      </c>
      <c r="I31" s="16" t="s">
        <v>85</v>
      </c>
      <c r="J31" s="4">
        <v>0</v>
      </c>
      <c r="K31" s="6">
        <f>$L$16+J31</f>
        <v>2</v>
      </c>
      <c r="L31" s="17">
        <f t="shared" si="2"/>
        <v>4</v>
      </c>
      <c r="N31" s="13" t="str">
        <f>IFERROR(INDEX(_xlfn._xlws.FILTER(Calc!$D$2:$D$375,Calc!$B$2:$B$375=$O$19),11),"")</f>
        <v>Mind and Body</v>
      </c>
      <c r="O31" s="14" t="str">
        <f>IFERROR(INDEX(_xlfn._xlws.FILTER(Calc!$C$2:$C$375,Calc!$B$2:$B$375=$O$19),11),"")</f>
        <v>Strategist</v>
      </c>
      <c r="P31" s="14" t="str">
        <f>IFERROR(INDEX(_xlfn._xlws.FILTER(Calc!$E$2:$E$375,Calc!$B$2:$B$375=$O$19),11),"")</f>
        <v>∞</v>
      </c>
      <c r="Q31" s="14">
        <f>IFERROR(INDEX(_xlfn._xlws.FILTER(Calc!$F$2:$F$375,Calc!$B$2:$B$375=$O$19),11),"")</f>
        <v>0</v>
      </c>
      <c r="R31" s="15" t="str">
        <f>IFERROR(INDEX(_xlfn._xlws.FILTER(Calc!$H$2:$H$375,Calc!$B$2:$B$375=$O$19),11),"")</f>
        <v>Gain a weapon expertise. Gain an additional skill from Erudition. You can now choose physical skills with Erudition.</v>
      </c>
      <c r="S31" s="13">
        <f>IFERROR(INDEX(_xlfn._xlws.FILTER(Calc!$G$2:$G$375,Calc!$B$2:$B$375=$O$19),11),"")</f>
        <v>0</v>
      </c>
      <c r="U31" t="e">
        <v>#N/A</v>
      </c>
      <c r="V31" t="e">
        <v>#N/A</v>
      </c>
      <c r="W31" t="e">
        <v>#N/A</v>
      </c>
      <c r="X31" t="e">
        <v>#N/A</v>
      </c>
      <c r="Y31" t="str">
        <v>Territorial Claim</v>
      </c>
    </row>
    <row r="32" spans="1:26" x14ac:dyDescent="0.25">
      <c r="A32" s="16" t="s">
        <v>86</v>
      </c>
      <c r="B32" s="4">
        <v>2</v>
      </c>
      <c r="C32" s="6">
        <f>$D$16+B32</f>
        <v>4</v>
      </c>
      <c r="D32" s="17">
        <f t="shared" si="0"/>
        <v>4</v>
      </c>
      <c r="E32" s="16" t="s">
        <v>87</v>
      </c>
      <c r="F32" s="4">
        <v>0</v>
      </c>
      <c r="G32" s="6">
        <f>$H$16+F32</f>
        <v>1</v>
      </c>
      <c r="H32" s="17">
        <f t="shared" si="1"/>
        <v>4</v>
      </c>
      <c r="I32" s="16" t="s">
        <v>88</v>
      </c>
      <c r="J32" s="4">
        <v>0</v>
      </c>
      <c r="K32" s="6">
        <f>$J$16+J32</f>
        <v>4</v>
      </c>
      <c r="L32" s="17">
        <f t="shared" si="2"/>
        <v>4</v>
      </c>
      <c r="N32" s="13" t="str">
        <f>IFERROR(INDEX(_xlfn._xlws.FILTER(Calc!$D$2:$D$375,Calc!$B$2:$B$375=$O$19),12),"")</f>
        <v>Composed</v>
      </c>
      <c r="O32" s="14" t="str">
        <f>IFERROR(INDEX(_xlfn._xlws.FILTER(Calc!$C$2:$C$375,Calc!$B$2:$B$375=$O$19),12),"")</f>
        <v>Strategist</v>
      </c>
      <c r="P32" s="14" t="str">
        <f>IFERROR(INDEX(_xlfn._xlws.FILTER(Calc!$E$2:$E$375,Calc!$B$2:$B$375=$O$19),12),"")</f>
        <v>∞</v>
      </c>
      <c r="Q32" s="14">
        <f>IFERROR(INDEX(_xlfn._xlws.FILTER(Calc!$F$2:$F$375,Calc!$B$2:$B$375=$O$19),12),"")</f>
        <v>0</v>
      </c>
      <c r="R32" s="15" t="str">
        <f>IFERROR(INDEX(_xlfn._xlws.FILTER(Calc!$H$2:$H$375,Calc!$B$2:$B$375=$O$19),12),"")</f>
        <v>Increase your max and current focus by your tier.</v>
      </c>
      <c r="S32" s="13" t="str">
        <f>IFERROR(INDEX(_xlfn._xlws.FILTER(Calc!$G$2:$G$375,Calc!$B$2:$B$375=$O$19),12),"")</f>
        <v>Strategize</v>
      </c>
      <c r="U32" t="e">
        <v>#N/A</v>
      </c>
      <c r="V32" t="e">
        <v>#N/A</v>
      </c>
      <c r="W32" t="e">
        <v>#N/A</v>
      </c>
      <c r="X32" t="e">
        <v>#N/A</v>
      </c>
      <c r="Y32" t="str">
        <v>Pack Sense</v>
      </c>
    </row>
    <row r="33" spans="1:25" ht="25.5" x14ac:dyDescent="0.25">
      <c r="A33" s="16" t="s">
        <v>89</v>
      </c>
      <c r="B33" s="4">
        <v>0</v>
      </c>
      <c r="C33" s="6">
        <f>$D$16+B33</f>
        <v>2</v>
      </c>
      <c r="D33" s="17">
        <f t="shared" si="0"/>
        <v>4</v>
      </c>
      <c r="E33" s="16" t="s">
        <v>90</v>
      </c>
      <c r="F33" s="4">
        <v>3</v>
      </c>
      <c r="G33" s="6">
        <f>$F$16+F33</f>
        <v>6</v>
      </c>
      <c r="H33" s="17">
        <f t="shared" si="1"/>
        <v>4</v>
      </c>
      <c r="I33" s="16" t="s">
        <v>91</v>
      </c>
      <c r="J33" s="4">
        <v>0</v>
      </c>
      <c r="K33" s="6">
        <f>$L$16+J33</f>
        <v>2</v>
      </c>
      <c r="L33" s="17">
        <f t="shared" si="2"/>
        <v>4</v>
      </c>
      <c r="N33" s="13" t="str">
        <f>IFERROR(INDEX(_xlfn._xlws.FILTER(Calc!$D$2:$D$375,Calc!$B$2:$B$375=$O$19),13),"")</f>
        <v>Know Your Moment</v>
      </c>
      <c r="O33" s="14" t="str">
        <f>IFERROR(INDEX(_xlfn._xlws.FILTER(Calc!$C$2:$C$375,Calc!$B$2:$B$375=$O$19),13),"")</f>
        <v>Strategist</v>
      </c>
      <c r="P33" s="14" t="str">
        <f>IFERROR(INDEX(_xlfn._xlws.FILTER(Calc!$E$2:$E$375,Calc!$B$2:$B$375=$O$19),13),"")</f>
        <v>∞</v>
      </c>
      <c r="Q33" s="14">
        <f>IFERROR(INDEX(_xlfn._xlws.FILTER(Calc!$F$2:$F$375,Calc!$B$2:$B$375=$O$19),13),"")</f>
        <v>0</v>
      </c>
      <c r="R33" s="15" t="str">
        <f>IFERROR(INDEX(_xlfn._xlws.FILTER(Calc!$H$2:$H$375,Calc!$B$2:$B$375=$O$19),13),"")</f>
        <v>Your defenses increase by 2 from the start of each round until you take your turn.</v>
      </c>
      <c r="S33" s="13" t="str">
        <f>IFERROR(INDEX(_xlfn._xlws.FILTER(Calc!$G$2:$G$375,Calc!$B$2:$B$375=$O$19),13),"")</f>
        <v>Mind and Body; Deduction 2+</v>
      </c>
      <c r="U33" t="e">
        <v>#N/A</v>
      </c>
      <c r="V33" t="e">
        <v>#N/A</v>
      </c>
      <c r="W33" t="e">
        <v>#N/A</v>
      </c>
      <c r="X33" t="e">
        <v>#N/A</v>
      </c>
      <c r="Y33" t="str">
        <v>Apex Predator</v>
      </c>
    </row>
    <row r="34" spans="1:25" x14ac:dyDescent="0.25">
      <c r="A34" s="16" t="s">
        <v>92</v>
      </c>
      <c r="B34" s="4">
        <v>0</v>
      </c>
      <c r="C34" s="6">
        <f>$D$16+B34</f>
        <v>2</v>
      </c>
      <c r="D34" s="17">
        <f t="shared" si="0"/>
        <v>4</v>
      </c>
      <c r="E34" s="16" t="s">
        <v>93</v>
      </c>
      <c r="F34" s="4">
        <v>0</v>
      </c>
      <c r="G34" s="6">
        <f>$F$16+F34</f>
        <v>3</v>
      </c>
      <c r="H34" s="17">
        <f t="shared" si="1"/>
        <v>4</v>
      </c>
      <c r="I34" s="16" t="s">
        <v>94</v>
      </c>
      <c r="J34" s="4">
        <v>1</v>
      </c>
      <c r="K34" s="6">
        <f>$J$16+J34</f>
        <v>5</v>
      </c>
      <c r="L34" s="17">
        <f t="shared" si="2"/>
        <v>4</v>
      </c>
      <c r="N34" s="13" t="str">
        <f>IFERROR(INDEX(_xlfn._xlws.FILTER(Calc!$D$2:$D$375,Calc!$B$2:$B$375=$O$19),14),"")</f>
        <v>Deep Contemplation</v>
      </c>
      <c r="O34" s="14" t="str">
        <f>IFERROR(INDEX(_xlfn._xlws.FILTER(Calc!$C$2:$C$375,Calc!$B$2:$B$375=$O$19),14),"")</f>
        <v>Strategist</v>
      </c>
      <c r="P34" s="14" t="str">
        <f>IFERROR(INDEX(_xlfn._xlws.FILTER(Calc!$E$2:$E$375,Calc!$B$2:$B$375=$O$19),14),"")</f>
        <v>▶▶</v>
      </c>
      <c r="Q34" s="14">
        <f>IFERROR(INDEX(_xlfn._xlws.FILTER(Calc!$F$2:$F$375,Calc!$B$2:$B$375=$O$19),14),"")</f>
        <v>0</v>
      </c>
      <c r="R34" s="15" t="str">
        <f>IFERROR(INDEX(_xlfn._xlws.FILTER(Calc!$H$2:$H$375,Calc!$B$2:$B$375=$O$19),14),"")</f>
        <v>Reassign up to 2 skills and expertises from Erudition</v>
      </c>
      <c r="S34" s="13" t="str">
        <f>IFERROR(INDEX(_xlfn._xlws.FILTER(Calc!$G$2:$G$375,Calc!$B$2:$B$375=$O$19),14),"")</f>
        <v>Composed; Lore 2+</v>
      </c>
      <c r="U34" t="e">
        <v>#N/A</v>
      </c>
      <c r="V34" t="e">
        <v>#N/A</v>
      </c>
      <c r="W34" t="e">
        <v>#N/A</v>
      </c>
      <c r="X34" t="e">
        <v>#N/A</v>
      </c>
      <c r="Y34" t="str">
        <v>Mender's Instinct</v>
      </c>
    </row>
    <row r="35" spans="1:25" ht="25.5" x14ac:dyDescent="0.25">
      <c r="A35" s="18" t="str">
        <f>IF(OR($C$7="",$C$7="(None)"),"—",$C$7&amp;" ("&amp;IFERROR(INDEX({"STR","SPD","INT","WIL","AWA","PRE"},VLOOKUP($C$7,Reference!$E$29:$F$43,2,FALSE)),"")&amp;")")</f>
        <v>Green (AWA)</v>
      </c>
      <c r="B35" s="4">
        <v>2</v>
      </c>
      <c r="C35" s="6">
        <f>IFERROR(INDEX($B$16:$L$16,1,VLOOKUP($C$7,Reference!$E$29:$F$43,2,FALSE)*2-1)+B35,"")</f>
        <v>6</v>
      </c>
      <c r="D35" s="17">
        <f t="shared" si="0"/>
        <v>4</v>
      </c>
      <c r="E35" s="18" t="str">
        <f>IF(OR($C$8="",$C$8="(None)"),"—",$C$8&amp;" ("&amp;IFERROR(INDEX({"STR","SPD","INT","WIL","AWA","PRE"},VLOOKUP($C$8,Reference!$E$29:$F$43,2,FALSE)),"")&amp;")")</f>
        <v>Red (STR)</v>
      </c>
      <c r="F35" s="4">
        <v>2</v>
      </c>
      <c r="G35" s="6">
        <f>IFERROR(INDEX($B$16:$L$16,1,VLOOKUP($C$8,Reference!$E$29:$F$43,2,FALSE)*2-1)+F35,"")</f>
        <v>4</v>
      </c>
      <c r="H35" s="17">
        <f t="shared" si="1"/>
        <v>4</v>
      </c>
      <c r="I35" s="18" t="str">
        <f>IF(OR($C$9="",$C$9="(None)"),"—",$C$9&amp;" ("&amp;IFERROR(INDEX({"STR","SPD","INT","WIL","AWA","PRE"},VLOOKUP($C$9,Reference!$E$29:$F$43,2,FALSE)),"")&amp;")")</f>
        <v>Knowledge (AWA)</v>
      </c>
      <c r="J35" s="4">
        <v>1</v>
      </c>
      <c r="K35" s="6">
        <f>IFERROR(INDEX($B$16:$L$16,1,VLOOKUP($C$9,Reference!$E$29:$F$43,2,FALSE)*2-1)+J35,"")</f>
        <v>5</v>
      </c>
      <c r="L35" s="17">
        <f t="shared" si="2"/>
        <v>4</v>
      </c>
      <c r="N35" s="13" t="str">
        <f>IFERROR(INDEX(_xlfn._xlws.FILTER(Calc!$D$2:$D$375,Calc!$B$2:$B$375=$O$19),15),"")</f>
        <v>Keen Insight</v>
      </c>
      <c r="O35" s="14" t="str">
        <f>IFERROR(INDEX(_xlfn._xlws.FILTER(Calc!$C$2:$C$375,Calc!$B$2:$B$375=$O$19),15),"")</f>
        <v>Strategist</v>
      </c>
      <c r="P35" s="14" t="str">
        <f>IFERROR(INDEX(_xlfn._xlws.FILTER(Calc!$E$2:$E$375,Calc!$B$2:$B$375=$O$19),15),"")</f>
        <v>∞</v>
      </c>
      <c r="Q35" s="14">
        <f>IFERROR(INDEX(_xlfn._xlws.FILTER(Calc!$F$2:$F$375,Calc!$B$2:$B$375=$O$19),15),"")</f>
        <v>0</v>
      </c>
      <c r="R35" s="15" t="str">
        <f>IFERROR(INDEX(_xlfn._xlws.FILTER(Calc!$H$2:$H$375,Calc!$B$2:$B$375=$O$19),15),"")</f>
        <v>After you Gain Advantage, the target must resist your influence or gain a disadvantage on their next test.</v>
      </c>
      <c r="S35" s="13" t="str">
        <f>IFERROR(INDEX(_xlfn._xlws.FILTER(Calc!$G$2:$G$375,Calc!$B$2:$B$375=$O$19),15),"")</f>
        <v>Deep Contemplation</v>
      </c>
      <c r="U35" t="e">
        <v>#N/A</v>
      </c>
      <c r="V35" t="e">
        <v>#N/A</v>
      </c>
      <c r="W35" t="e">
        <v>#N/A</v>
      </c>
      <c r="X35" t="e">
        <v>#N/A</v>
      </c>
      <c r="Y35" t="str">
        <v>Verdant Mend</v>
      </c>
    </row>
    <row r="36" spans="1:25" ht="25.5" x14ac:dyDescent="0.25">
      <c r="N36" s="13" t="str">
        <f>IFERROR(INDEX(_xlfn._xlws.FILTER(Calc!$D$2:$D$375,Calc!$B$2:$B$375=$O$19),16),"")</f>
        <v>Contingency</v>
      </c>
      <c r="O36" s="14" t="str">
        <f>IFERROR(INDEX(_xlfn._xlws.FILTER(Calc!$C$2:$C$375,Calc!$B$2:$B$375=$O$19),16),"")</f>
        <v>Strategist</v>
      </c>
      <c r="P36" s="14" t="str">
        <f>IFERROR(INDEX(_xlfn._xlws.FILTER(Calc!$E$2:$E$375,Calc!$B$2:$B$375=$O$19),16),"")</f>
        <v>⟲</v>
      </c>
      <c r="Q36" s="14" t="str">
        <f>IFERROR(INDEX(_xlfn._xlws.FILTER(Calc!$F$2:$F$375,Calc!$B$2:$B$375=$O$19),16),"")</f>
        <v>2 Focus</v>
      </c>
      <c r="R36" s="15" t="str">
        <f>IFERROR(INDEX(_xlfn._xlws.FILTER(Calc!$H$2:$H$375,Calc!$B$2:$B$375=$O$19),16),"")</f>
        <v>Spend 2 focus to remove Complication from the test of an ally within 20 ft.</v>
      </c>
      <c r="S36" s="13" t="str">
        <f>IFERROR(INDEX(_xlfn._xlws.FILTER(Calc!$G$2:$G$375,Calc!$B$2:$B$375=$O$19),16),"")</f>
        <v>Composed; Lore 3+</v>
      </c>
      <c r="U36" t="e">
        <v>#N/A</v>
      </c>
      <c r="V36" t="e">
        <v>#N/A</v>
      </c>
      <c r="W36" t="e">
        <v>#N/A</v>
      </c>
      <c r="X36" t="e">
        <v>#N/A</v>
      </c>
      <c r="Y36" t="str">
        <v>Root and Branch</v>
      </c>
    </row>
    <row r="37" spans="1:25" ht="51" x14ac:dyDescent="0.25">
      <c r="A37" s="10" t="s">
        <v>95</v>
      </c>
      <c r="B37" s="11">
        <f>B29+B30+B31+B32+B33+B34+F29+F30+F31+F32+F33+F34+J29+J30+J31+J32+J33+J34+B35+F35+J35</f>
        <v>17</v>
      </c>
      <c r="D37" s="10" t="s">
        <v>47</v>
      </c>
      <c r="E37" s="11">
        <f>$I$12</f>
        <v>25</v>
      </c>
      <c r="G37" s="10" t="s">
        <v>48</v>
      </c>
      <c r="H37" s="12">
        <f>E37-B37</f>
        <v>8</v>
      </c>
      <c r="N37" s="13" t="str">
        <f>IFERROR(INDEX(_xlfn._xlws.FILTER(Calc!$D$2:$D$375,Calc!$B$2:$B$375=$O$19),17),"")</f>
        <v>Turning Point</v>
      </c>
      <c r="O37" s="14" t="str">
        <f>IFERROR(INDEX(_xlfn._xlws.FILTER(Calc!$C$2:$C$375,Calc!$B$2:$B$375=$O$19),17),"")</f>
        <v>Strategist</v>
      </c>
      <c r="P37" s="14" t="str">
        <f>IFERROR(INDEX(_xlfn._xlws.FILTER(Calc!$E$2:$E$375,Calc!$B$2:$B$375=$O$19),17),"")</f>
        <v>▶▶</v>
      </c>
      <c r="Q37" s="14" t="str">
        <f>IFERROR(INDEX(_xlfn._xlws.FILTER(Calc!$F$2:$F$375,Calc!$B$2:$B$375=$O$19),17),"")</f>
        <v>2 Focus</v>
      </c>
      <c r="R37" s="15" t="str">
        <f>IFERROR(INDEX(_xlfn._xlws.FILTER(Calc!$H$2:$H$375,Calc!$B$2:$B$375=$O$19),17),"")</f>
        <v>Spend 2 focus to test Deduction vs. Cognitive of the enemy leader, gaining an advantage if you took a slow turn. On a success, you and your allies gain an Action on your next turns.</v>
      </c>
      <c r="S37" s="13" t="str">
        <f>IFERROR(INDEX(_xlfn._xlws.FILTER(Calc!$G$2:$G$375,Calc!$B$2:$B$375=$O$19),17),"")</f>
        <v>Contingency; Deduction 3+</v>
      </c>
      <c r="U37" t="e">
        <v>#N/A</v>
      </c>
      <c r="V37" t="e">
        <v>#N/A</v>
      </c>
      <c r="W37" t="e">
        <v>#N/A</v>
      </c>
      <c r="X37" t="e">
        <v>#N/A</v>
      </c>
      <c r="Y37" t="str">
        <v>Natural Recovery</v>
      </c>
    </row>
    <row r="38" spans="1:25" ht="38.25" x14ac:dyDescent="0.25">
      <c r="N38" s="13" t="str">
        <f>IFERROR(INDEX(_xlfn._xlws.FILTER(Calc!$D$2:$D$375,Calc!$B$2:$B$375=$O$19),18),"")</f>
        <v>Field Medicine</v>
      </c>
      <c r="O38" s="14" t="str">
        <f>IFERROR(INDEX(_xlfn._xlws.FILTER(Calc!$C$2:$C$375,Calc!$B$2:$B$375=$O$19),18),"")</f>
        <v>Surgeon</v>
      </c>
      <c r="P38" s="14" t="str">
        <f>IFERROR(INDEX(_xlfn._xlws.FILTER(Calc!$E$2:$E$375,Calc!$B$2:$B$375=$O$19),18),"")</f>
        <v>▶</v>
      </c>
      <c r="Q38" s="14" t="str">
        <f>IFERROR(INDEX(_xlfn._xlws.FILTER(Calc!$F$2:$F$375,Calc!$B$2:$B$375=$O$19),18),"")</f>
        <v>1 Focus</v>
      </c>
      <c r="R38" s="15" t="str">
        <f>IFERROR(INDEX(_xlfn._xlws.FILTER(Calc!$H$2:$H$375,Calc!$B$2:$B$375=$O$19),18),"")</f>
        <v>Spend 1 focus and test Medicine (DC 15) to heal a concious character. On success, add your ranks in Medicine to their recovery die.</v>
      </c>
      <c r="S38" s="13" t="str">
        <f>IFERROR(INDEX(_xlfn._xlws.FILTER(Calc!$G$2:$G$375,Calc!$B$2:$B$375=$O$19),18),"")</f>
        <v>Medicine 1+</v>
      </c>
      <c r="U38" t="e">
        <v>#N/A</v>
      </c>
      <c r="V38" t="e">
        <v>#N/A</v>
      </c>
      <c r="W38" t="e">
        <v>#N/A</v>
      </c>
      <c r="X38" t="e">
        <v>#N/A</v>
      </c>
      <c r="Y38" t="str">
        <v>Hardy</v>
      </c>
    </row>
    <row r="39" spans="1:25" ht="38.25" x14ac:dyDescent="0.25">
      <c r="A39" s="29" t="s">
        <v>96</v>
      </c>
      <c r="B39" s="30"/>
      <c r="C39" s="30"/>
      <c r="D39" s="30"/>
      <c r="E39" s="30"/>
      <c r="F39" s="30"/>
      <c r="G39" s="30"/>
      <c r="H39" s="30"/>
      <c r="I39" s="30"/>
      <c r="J39" s="30"/>
      <c r="K39" s="30"/>
      <c r="L39" s="30"/>
      <c r="N39" s="13" t="str">
        <f>IFERROR(INDEX(_xlfn._xlws.FILTER(Calc!$D$2:$D$375,Calc!$B$2:$B$375=$O$19),19),"")</f>
        <v>Emotional Intelligence</v>
      </c>
      <c r="O39" s="14" t="str">
        <f>IFERROR(INDEX(_xlfn._xlws.FILTER(Calc!$C$2:$C$375,Calc!$B$2:$B$375=$O$19),19),"")</f>
        <v>Surgeon</v>
      </c>
      <c r="P39" s="14" t="str">
        <f>IFERROR(INDEX(_xlfn._xlws.FILTER(Calc!$E$2:$E$375,Calc!$B$2:$B$375=$O$19),19),"")</f>
        <v>∞</v>
      </c>
      <c r="Q39" s="14">
        <f>IFERROR(INDEX(_xlfn._xlws.FILTER(Calc!$F$2:$F$375,Calc!$B$2:$B$375=$O$19),19),"")</f>
        <v>0</v>
      </c>
      <c r="R39" s="15" t="str">
        <f>IFERROR(INDEX(_xlfn._xlws.FILTER(Calc!$H$2:$H$375,Calc!$B$2:$B$375=$O$19),19),"")</f>
        <v>Gain Diagnosis expertise. Gain an additional skill from Erudtition. You can now choose Spiritual skills with Erudition.</v>
      </c>
      <c r="S39" s="13">
        <f>IFERROR(INDEX(_xlfn._xlws.FILTER(Calc!$G$2:$G$375,Calc!$B$2:$B$375=$O$19),19),"")</f>
        <v>0</v>
      </c>
      <c r="U39" t="e">
        <v>#N/A</v>
      </c>
      <c r="V39" t="e">
        <v>#N/A</v>
      </c>
      <c r="W39" t="e">
        <v>#N/A</v>
      </c>
      <c r="X39" t="e">
        <v>#N/A</v>
      </c>
      <c r="Y39" t="str">
        <v>Collected</v>
      </c>
    </row>
    <row r="40" spans="1:25" ht="43.5" customHeight="1" x14ac:dyDescent="0.25">
      <c r="B40" s="2" t="s">
        <v>97</v>
      </c>
      <c r="D40" s="6">
        <f>$K$12</f>
        <v>17</v>
      </c>
      <c r="N40" s="13" t="str">
        <f>IFERROR(INDEX(_xlfn._xlws.FILTER(Calc!$D$2:$D$375,Calc!$B$2:$B$375=$O$19),20),"")</f>
        <v>Anatomical Insight</v>
      </c>
      <c r="O40" s="14" t="str">
        <f>IFERROR(INDEX(_xlfn._xlws.FILTER(Calc!$C$2:$C$375,Calc!$B$2:$B$375=$O$19),20),"")</f>
        <v>Surgeon</v>
      </c>
      <c r="P40" s="14" t="str">
        <f>IFERROR(INDEX(_xlfn._xlws.FILTER(Calc!$E$2:$E$375,Calc!$B$2:$B$375=$O$19),20),"")</f>
        <v>★</v>
      </c>
      <c r="Q40" s="14" t="str">
        <f>IFERROR(INDEX(_xlfn._xlws.FILTER(Calc!$F$2:$F$375,Calc!$B$2:$B$375=$O$19),20),"")</f>
        <v>1 Focus or Opportunity</v>
      </c>
      <c r="R40" s="15" t="str">
        <f>IFERROR(INDEX(_xlfn._xlws.FILTER(Calc!$H$2:$H$375,Calc!$B$2:$B$375=$O$19),20),"")</f>
        <v>When you hit with an unarmed attack, spend 1 focus or Opportunity to make the target Exhausted [ - half your ranks in Medicine].</v>
      </c>
      <c r="S40" s="13" t="str">
        <f>IFERROR(INDEX(_xlfn._xlws.FILTER(Calc!$G$2:$G$375,Calc!$B$2:$B$375=$O$19),20),"")</f>
        <v>Field Medicine</v>
      </c>
      <c r="U40" t="e">
        <v>#N/A</v>
      </c>
      <c r="V40" t="e">
        <v>#N/A</v>
      </c>
      <c r="W40" t="e">
        <v>#N/A</v>
      </c>
      <c r="X40" t="e">
        <v>#N/A</v>
      </c>
      <c r="Y40" t="str">
        <v>Reknit Form</v>
      </c>
    </row>
    <row r="41" spans="1:25" x14ac:dyDescent="0.25">
      <c r="A41" s="40" t="s">
        <v>98</v>
      </c>
      <c r="B41" s="41"/>
      <c r="C41" s="41"/>
      <c r="D41" s="41"/>
      <c r="E41" s="38" t="s">
        <v>99</v>
      </c>
      <c r="F41" s="39"/>
      <c r="G41" s="39"/>
      <c r="H41" s="39"/>
      <c r="I41" s="39"/>
      <c r="J41" s="39"/>
      <c r="K41" s="39"/>
      <c r="L41" s="39"/>
      <c r="N41" s="13" t="str">
        <f>IFERROR(INDEX(_xlfn._xlws.FILTER(Calc!$D$2:$D$375,Calc!$B$2:$B$375=$O$19),21),"")</f>
        <v>Collected</v>
      </c>
      <c r="O41" s="14" t="str">
        <f>IFERROR(INDEX(_xlfn._xlws.FILTER(Calc!$C$2:$C$375,Calc!$B$2:$B$375=$O$19),21),"")</f>
        <v>Surgeon</v>
      </c>
      <c r="P41" s="14" t="str">
        <f>IFERROR(INDEX(_xlfn._xlws.FILTER(Calc!$E$2:$E$375,Calc!$B$2:$B$375=$O$19),21),"")</f>
        <v>∞</v>
      </c>
      <c r="Q41" s="14">
        <f>IFERROR(INDEX(_xlfn._xlws.FILTER(Calc!$F$2:$F$375,Calc!$B$2:$B$375=$O$19),21),"")</f>
        <v>0</v>
      </c>
      <c r="R41" s="15" t="str">
        <f>IFERROR(INDEX(_xlfn._xlws.FILTER(Calc!$H$2:$H$375,Calc!$B$2:$B$375=$O$19),21),"")</f>
        <v>Increase your Cognitive and Spiritual defenses by 2.</v>
      </c>
      <c r="S41" s="13" t="str">
        <f>IFERROR(INDEX(_xlfn._xlws.FILTER(Calc!$G$2:$G$375,Calc!$B$2:$B$375=$O$19),21),"")</f>
        <v>Emotional Intelligence</v>
      </c>
      <c r="U41" t="e">
        <v>#N/A</v>
      </c>
      <c r="V41" t="e">
        <v>#N/A</v>
      </c>
      <c r="W41" t="e">
        <v>#N/A</v>
      </c>
      <c r="X41" t="e">
        <v>#N/A</v>
      </c>
      <c r="Y41" t="str">
        <v>Vital Surge</v>
      </c>
    </row>
    <row r="42" spans="1:25" ht="36.75" customHeight="1" x14ac:dyDescent="0.25">
      <c r="B42" s="1" t="s">
        <v>100</v>
      </c>
      <c r="C42" s="32" t="s">
        <v>496</v>
      </c>
      <c r="D42" s="27"/>
      <c r="E42" s="28"/>
      <c r="F42" s="1" t="s">
        <v>101</v>
      </c>
      <c r="G42" s="35" t="str">
        <f>IFERROR(INDEX(Calc!$H$2:$H$375,MATCH($C$42,Calc!$D$2:$D$375,0)),"")</f>
        <v>You know which creature within Attunement Range has the lowest HP. Your first test against it each round gains Advantage.</v>
      </c>
      <c r="H42" s="36"/>
      <c r="I42" s="36"/>
      <c r="J42" s="36"/>
      <c r="K42" s="36"/>
      <c r="L42" s="37"/>
      <c r="N42" s="13" t="str">
        <f>IFERROR(INDEX(_xlfn._xlws.FILTER(Calc!$D$2:$D$375,Calc!$B$2:$B$375=$O$19),22),"")</f>
        <v>Swift Healer</v>
      </c>
      <c r="O42" s="14" t="str">
        <f>IFERROR(INDEX(_xlfn._xlws.FILTER(Calc!$C$2:$C$375,Calc!$B$2:$B$375=$O$19),22),"")</f>
        <v>Surgeon</v>
      </c>
      <c r="P42" s="14" t="str">
        <f>IFERROR(INDEX(_xlfn._xlws.FILTER(Calc!$E$2:$E$375,Calc!$B$2:$B$375=$O$19),22),"")</f>
        <v>◇</v>
      </c>
      <c r="Q42" s="14">
        <f>IFERROR(INDEX(_xlfn._xlws.FILTER(Calc!$F$2:$F$375,Calc!$B$2:$B$375=$O$19),22),"")</f>
        <v>0</v>
      </c>
      <c r="R42" s="15" t="str">
        <f>IFERROR(INDEX(_xlfn._xlws.FILTER(Calc!$H$2:$H$375,Calc!$B$2:$B$375=$O$19),22),"")</f>
        <v>Use Field Medicine as a w. Your healing abilities restore additional health equal to your ranks in Medicine.</v>
      </c>
      <c r="S42" s="13" t="str">
        <f>IFERROR(INDEX(_xlfn._xlws.FILTER(Calc!$G$2:$G$375,Calc!$B$2:$B$375=$O$19),22),"")</f>
        <v>Field Medicine; Medicine 2+</v>
      </c>
      <c r="U42" t="e">
        <v>#N/A</v>
      </c>
      <c r="V42" t="e">
        <v>#N/A</v>
      </c>
      <c r="W42" t="e">
        <v>#N/A</v>
      </c>
      <c r="X42" t="e">
        <v>#N/A</v>
      </c>
      <c r="Y42" t="str">
        <v>Predator's Instinct</v>
      </c>
    </row>
    <row r="43" spans="1:25" ht="25.5" x14ac:dyDescent="0.25">
      <c r="A43" s="40" t="s">
        <v>102</v>
      </c>
      <c r="B43" s="41"/>
      <c r="C43" s="41"/>
      <c r="D43" s="41"/>
      <c r="E43" s="38" t="s">
        <v>103</v>
      </c>
      <c r="F43" s="39"/>
      <c r="G43" s="39"/>
      <c r="H43" s="39"/>
      <c r="I43" s="39"/>
      <c r="J43" s="39"/>
      <c r="K43" s="39"/>
      <c r="L43" s="39"/>
      <c r="N43" s="13" t="str">
        <f>IFERROR(INDEX(_xlfn._xlws.FILTER(Calc!$D$2:$D$375,Calc!$B$2:$B$375=$O$19),23),"")</f>
        <v>Applied Medicine</v>
      </c>
      <c r="O43" s="14" t="str">
        <f>IFERROR(INDEX(_xlfn._xlws.FILTER(Calc!$C$2:$C$375,Calc!$B$2:$B$375=$O$19),23),"")</f>
        <v>Surgeon</v>
      </c>
      <c r="P43" s="14" t="str">
        <f>IFERROR(INDEX(_xlfn._xlws.FILTER(Calc!$E$2:$E$375,Calc!$B$2:$B$375=$O$19),23),"")</f>
        <v>∞</v>
      </c>
      <c r="Q43" s="14">
        <f>IFERROR(INDEX(_xlfn._xlws.FILTER(Calc!$F$2:$F$375,Calc!$B$2:$B$375=$O$19),23),"")</f>
        <v>0</v>
      </c>
      <c r="R43" s="15" t="str">
        <f>IFERROR(INDEX(_xlfn._xlws.FILTER(Calc!$H$2:$H$375,Calc!$B$2:$B$375=$O$19),23),"")</f>
        <v>Your healing abilities restore additional health equal to your ranks in Lore.</v>
      </c>
      <c r="S43" s="13" t="str">
        <f>IFERROR(INDEX(_xlfn._xlws.FILTER(Calc!$G$2:$G$375,Calc!$B$2:$B$375=$O$19),23),"")</f>
        <v>Collected; Lore 2+</v>
      </c>
      <c r="U43" t="e">
        <v>#N/A</v>
      </c>
      <c r="V43" t="e">
        <v>#N/A</v>
      </c>
      <c r="W43" t="e">
        <v>#N/A</v>
      </c>
      <c r="X43" t="e">
        <v>#N/A</v>
      </c>
      <c r="Y43" t="str">
        <v>Pack Hunter</v>
      </c>
    </row>
    <row r="44" spans="1:25" ht="25.5" customHeight="1" x14ac:dyDescent="0.25">
      <c r="B44" s="1" t="s">
        <v>100</v>
      </c>
      <c r="C44" s="67" t="str">
        <f>IFERROR(INDEX(_xlfn._xlws.FILTER(Calc!$D$2:$D$375,(Calc!$A$2:$A$375="heroic")*(Calc!$B$2:$B$375=$C$6)*(Calc!$C$2:$C$375="Key")),1),"")</f>
        <v>Erudition</v>
      </c>
      <c r="D44" s="27"/>
      <c r="E44" s="28"/>
      <c r="F44" s="1" t="s">
        <v>101</v>
      </c>
      <c r="G44" s="47" t="str">
        <f>IFERROR(INDEX(_xlfn._xlws.FILTER(Calc!$H$2:$H$375,(Calc!$A$2:$A$375="heroic")*(Calc!$B$2:$B$375=$C$6)*(Calc!$C$2:$C$375="Key")),1),"")</f>
        <v>Temporarily gain a cultural or utility expertise and a rank in two non-invested cognitive skills. Reassign these after a long rest with library access.</v>
      </c>
      <c r="H44" s="36"/>
      <c r="I44" s="36"/>
      <c r="J44" s="36"/>
      <c r="K44" s="36"/>
      <c r="L44" s="37"/>
      <c r="N44" s="13" t="str">
        <f>IFERROR(INDEX(_xlfn._xlws.FILTER(Calc!$D$2:$D$375,Calc!$B$2:$B$375=$O$19),24),"")</f>
        <v>Ongoing Care</v>
      </c>
      <c r="O44" s="14" t="str">
        <f>IFERROR(INDEX(_xlfn._xlws.FILTER(Calc!$C$2:$C$375,Calc!$B$2:$B$375=$O$19),24),"")</f>
        <v>Surgeon</v>
      </c>
      <c r="P44" s="14" t="str">
        <f>IFERROR(INDEX(_xlfn._xlws.FILTER(Calc!$E$2:$E$375,Calc!$B$2:$B$375=$O$19),24),"")</f>
        <v>★</v>
      </c>
      <c r="Q44" s="14">
        <f>IFERROR(INDEX(_xlfn._xlws.FILTER(Calc!$F$2:$F$375,Calc!$B$2:$B$375=$O$19),24),"")</f>
        <v>0</v>
      </c>
      <c r="R44" s="15" t="str">
        <f>IFERROR(INDEX(_xlfn._xlws.FILTER(Calc!$H$2:$H$375,Calc!$B$2:$B$375=$O$19),24),"")</f>
        <v>Gain Mental Health Care expertise. During a rest, test Medicine (DC 10) to treat an ally, removing one condition caused by their injury.</v>
      </c>
      <c r="S44" s="13" t="str">
        <f>IFERROR(INDEX(_xlfn._xlws.FILTER(Calc!$G$2:$G$375,Calc!$B$2:$B$375=$O$19),24),"")</f>
        <v>Swift Healer; Lore 3+</v>
      </c>
      <c r="U44" t="e">
        <v>#N/A</v>
      </c>
      <c r="V44" t="e">
        <v>#N/A</v>
      </c>
      <c r="W44" t="e">
        <v>#N/A</v>
      </c>
      <c r="X44" t="e">
        <v>#N/A</v>
      </c>
      <c r="Y44" t="str">
        <v>Scent the Weak</v>
      </c>
    </row>
    <row r="45" spans="1:25" ht="25.5" x14ac:dyDescent="0.25">
      <c r="A45" s="40" t="s">
        <v>104</v>
      </c>
      <c r="B45" s="41"/>
      <c r="C45" s="41"/>
      <c r="D45" s="41"/>
      <c r="E45" s="38" t="s">
        <v>105</v>
      </c>
      <c r="F45" s="39"/>
      <c r="G45" s="39"/>
      <c r="H45" s="39"/>
      <c r="I45" s="39"/>
      <c r="J45" s="39"/>
      <c r="K45" s="39"/>
      <c r="L45" s="39"/>
      <c r="N45" s="13" t="str">
        <f>IFERROR(INDEX(_xlfn._xlws.FILTER(Calc!$D$2:$D$375,Calc!$B$2:$B$375=$O$19),25),"")</f>
        <v>Resuscitation</v>
      </c>
      <c r="O45" s="14" t="str">
        <f>IFERROR(INDEX(_xlfn._xlws.FILTER(Calc!$C$2:$C$375,Calc!$B$2:$B$375=$O$19),25),"")</f>
        <v>Surgeon</v>
      </c>
      <c r="P45" s="14" t="str">
        <f>IFERROR(INDEX(_xlfn._xlws.FILTER(Calc!$E$2:$E$375,Calc!$B$2:$B$375=$O$19),25),"")</f>
        <v>★</v>
      </c>
      <c r="Q45" s="14" t="str">
        <f>IFERROR(INDEX(_xlfn._xlws.FILTER(Calc!$F$2:$F$375,Calc!$B$2:$B$375=$O$19),25),"")</f>
        <v>3 Focus</v>
      </c>
      <c r="R45" s="15" t="str">
        <f>IFERROR(INDEX(_xlfn._xlws.FILTER(Calc!$H$2:$H$375,Calc!$B$2:$B$375=$O$19),25),"")</f>
        <v>Spend 3 focus when using Field Medicine to revive an Unconcious character or one who died recently.</v>
      </c>
      <c r="S45" s="13" t="str">
        <f>IFERROR(INDEX(_xlfn._xlws.FILTER(Calc!$G$2:$G$375,Calc!$B$2:$B$375=$O$19),25),"")</f>
        <v>Swift Healer; Medicine 3+</v>
      </c>
      <c r="U45" t="e">
        <v>#N/A</v>
      </c>
      <c r="V45" t="e">
        <v>#N/A</v>
      </c>
      <c r="W45" t="e">
        <v>#N/A</v>
      </c>
      <c r="X45" t="e">
        <v>#N/A</v>
      </c>
      <c r="Y45" t="str">
        <v>Pack Pressure</v>
      </c>
    </row>
    <row r="46" spans="1:25" ht="29.25" customHeight="1" x14ac:dyDescent="0.25">
      <c r="B46" s="1" t="s">
        <v>100</v>
      </c>
      <c r="C46" s="32" t="s">
        <v>1008</v>
      </c>
      <c r="D46" s="27"/>
      <c r="E46" s="28"/>
      <c r="F46" s="1" t="s">
        <v>101</v>
      </c>
      <c r="G46" s="35" t="str">
        <f>IFERROR(INDEX(Calc!$H$2:$H$375,MATCH($C$46,Calc!$D$2:$D$375,0)),"")</f>
        <v>After you Gain Advantage using an Erudition skill, grant that advantage to an ally instead. You can spend 2 focus to also prevent the target from using reactions against that ally.</v>
      </c>
      <c r="H46" s="36"/>
      <c r="I46" s="36"/>
      <c r="J46" s="36"/>
      <c r="K46" s="36"/>
      <c r="L46" s="37"/>
      <c r="N46" s="13" t="str">
        <f>IFERROR(INDEX(_xlfn._xlws.FILTER(Calc!$D$2:$D$375,Calc!$B$2:$B$375=$O$19),26),"")</f>
        <v/>
      </c>
      <c r="O46" s="14" t="str">
        <f>IFERROR(INDEX(_xlfn._xlws.FILTER(Calc!$C$2:$C$375,Calc!$B$2:$B$375=$O$19),26),"")</f>
        <v/>
      </c>
      <c r="P46" s="14" t="str">
        <f>IFERROR(INDEX(_xlfn._xlws.FILTER(Calc!$E$2:$E$375,Calc!$B$2:$B$375=$O$19),26),"")</f>
        <v/>
      </c>
      <c r="Q46" s="14" t="str">
        <f>IFERROR(INDEX(_xlfn._xlws.FILTER(Calc!$F$2:$F$375,Calc!$B$2:$B$375=$O$19),26),"")</f>
        <v/>
      </c>
      <c r="R46" s="15" t="str">
        <f>IFERROR(INDEX(_xlfn._xlws.FILTER(Calc!$H$2:$H$375,Calc!$B$2:$B$375=$O$19),26),"")</f>
        <v/>
      </c>
      <c r="S46" s="13" t="str">
        <f>IFERROR(INDEX(_xlfn._xlws.FILTER(Calc!$G$2:$G$375,Calc!$B$2:$B$375=$O$19),26),"")</f>
        <v/>
      </c>
      <c r="U46" t="e">
        <v>#N/A</v>
      </c>
      <c r="V46" t="e">
        <v>#N/A</v>
      </c>
      <c r="W46" t="e">
        <v>#N/A</v>
      </c>
      <c r="X46" t="e">
        <v>#N/A</v>
      </c>
      <c r="Y46" t="str">
        <v>Primal Sight</v>
      </c>
    </row>
    <row r="47" spans="1:25" x14ac:dyDescent="0.25">
      <c r="A47" s="40" t="s">
        <v>106</v>
      </c>
      <c r="B47" s="41"/>
      <c r="C47" s="41"/>
      <c r="D47" s="41"/>
      <c r="E47" s="38" t="s">
        <v>107</v>
      </c>
      <c r="F47" s="39"/>
      <c r="G47" s="39"/>
      <c r="H47" s="39"/>
      <c r="I47" s="39"/>
      <c r="J47" s="39"/>
      <c r="K47" s="39"/>
      <c r="L47" s="39"/>
      <c r="N47" s="13" t="str">
        <f>IFERROR(INDEX(_xlfn._xlws.FILTER(Calc!$D$2:$D$375,Calc!$B$2:$B$375=$O$19),27),"")</f>
        <v/>
      </c>
      <c r="O47" s="14" t="str">
        <f>IFERROR(INDEX(_xlfn._xlws.FILTER(Calc!$C$2:$C$375,Calc!$B$2:$B$375=$O$19),27),"")</f>
        <v/>
      </c>
      <c r="P47" s="14" t="str">
        <f>IFERROR(INDEX(_xlfn._xlws.FILTER(Calc!$E$2:$E$375,Calc!$B$2:$B$375=$O$19),27),"")</f>
        <v/>
      </c>
      <c r="Q47" s="14" t="str">
        <f>IFERROR(INDEX(_xlfn._xlws.FILTER(Calc!$F$2:$F$375,Calc!$B$2:$B$375=$O$19),27),"")</f>
        <v/>
      </c>
      <c r="R47" s="15" t="str">
        <f>IFERROR(INDEX(_xlfn._xlws.FILTER(Calc!$H$2:$H$375,Calc!$B$2:$B$375=$O$19),27),"")</f>
        <v/>
      </c>
      <c r="S47" s="13" t="str">
        <f>IFERROR(INDEX(_xlfn._xlws.FILTER(Calc!$G$2:$G$375,Calc!$B$2:$B$375=$O$19),27),"")</f>
        <v/>
      </c>
      <c r="U47" t="e">
        <v>#N/A</v>
      </c>
      <c r="V47" t="e">
        <v>#N/A</v>
      </c>
      <c r="W47" t="e">
        <v>#N/A</v>
      </c>
      <c r="X47" t="e">
        <v>#N/A</v>
      </c>
      <c r="Y47" t="str">
        <v>Surefooted</v>
      </c>
    </row>
    <row r="48" spans="1:25" x14ac:dyDescent="0.25">
      <c r="B48" s="1" t="s">
        <v>100</v>
      </c>
      <c r="C48" s="67" t="str">
        <f>IFERROR(INDEX(_xlfn._xlws.FILTER(Calc!$D$2:$D$375,(Calc!$A$2:$A$375="leyline")*(Calc!$B$2:$B$375=$C$7)*(Calc!$C$2:$C$375="Key")),1),"")</f>
        <v>Green Leyline Attunement</v>
      </c>
      <c r="D48" s="27"/>
      <c r="E48" s="28"/>
      <c r="F48" s="1" t="s">
        <v>101</v>
      </c>
      <c r="G48" s="64" t="str">
        <f>IFERROR(INDEX(_xlfn._xlws.FILTER(Calc!$H$2:$H$375,(Calc!$A$2:$A$375="leyline")*(Calc!$B$2:$B$375=$C$7)*(Calc!$C$2:$C$375="Key")),1),"")</f>
        <v>When you Draw Mana, create difficult terrain within [Size] of a point in Attunement Range.</v>
      </c>
      <c r="H48" s="27"/>
      <c r="I48" s="27"/>
      <c r="J48" s="27"/>
      <c r="K48" s="27"/>
      <c r="L48" s="28"/>
      <c r="N48" s="13" t="str">
        <f>IFERROR(INDEX(_xlfn._xlws.FILTER(Calc!$D$2:$D$375,Calc!$B$2:$B$375=$O$19),28),"")</f>
        <v/>
      </c>
      <c r="O48" s="14" t="str">
        <f>IFERROR(INDEX(_xlfn._xlws.FILTER(Calc!$C$2:$C$375,Calc!$B$2:$B$375=$O$19),28),"")</f>
        <v/>
      </c>
      <c r="P48" s="14" t="str">
        <f>IFERROR(INDEX(_xlfn._xlws.FILTER(Calc!$E$2:$E$375,Calc!$B$2:$B$375=$O$19),28),"")</f>
        <v/>
      </c>
      <c r="Q48" s="14" t="str">
        <f>IFERROR(INDEX(_xlfn._xlws.FILTER(Calc!$F$2:$F$375,Calc!$B$2:$B$375=$O$19),28),"")</f>
        <v/>
      </c>
      <c r="R48" s="15" t="str">
        <f>IFERROR(INDEX(_xlfn._xlws.FILTER(Calc!$H$2:$H$375,Calc!$B$2:$B$375=$O$19),28),"")</f>
        <v/>
      </c>
      <c r="S48" s="13" t="str">
        <f>IFERROR(INDEX(_xlfn._xlws.FILTER(Calc!$G$2:$G$375,Calc!$B$2:$B$375=$O$19),28),"")</f>
        <v/>
      </c>
      <c r="U48" t="e">
        <v>#N/A</v>
      </c>
      <c r="V48" t="e">
        <v>#N/A</v>
      </c>
      <c r="W48" t="e">
        <v>#N/A</v>
      </c>
      <c r="X48" t="e">
        <v>#N/A</v>
      </c>
      <c r="Y48" t="str">
        <v>Packmate's Warning</v>
      </c>
    </row>
    <row r="49" spans="1:25" x14ac:dyDescent="0.25">
      <c r="A49" s="40" t="s">
        <v>108</v>
      </c>
      <c r="B49" s="41"/>
      <c r="C49" s="41"/>
      <c r="D49" s="41"/>
      <c r="E49" s="38" t="s">
        <v>109</v>
      </c>
      <c r="F49" s="39"/>
      <c r="G49" s="39"/>
      <c r="H49" s="39"/>
      <c r="I49" s="39"/>
      <c r="J49" s="39"/>
      <c r="K49" s="39"/>
      <c r="L49" s="39"/>
      <c r="N49" s="13" t="str">
        <f>IFERROR(INDEX(_xlfn._xlws.FILTER(Calc!$D$2:$D$375,Calc!$B$2:$B$375=$O$19),29),"")</f>
        <v/>
      </c>
      <c r="O49" s="14" t="str">
        <f>IFERROR(INDEX(_xlfn._xlws.FILTER(Calc!$C$2:$C$375,Calc!$B$2:$B$375=$O$19),29),"")</f>
        <v/>
      </c>
      <c r="P49" s="14" t="str">
        <f>IFERROR(INDEX(_xlfn._xlws.FILTER(Calc!$E$2:$E$375,Calc!$B$2:$B$375=$O$19),29),"")</f>
        <v/>
      </c>
      <c r="Q49" s="14" t="str">
        <f>IFERROR(INDEX(_xlfn._xlws.FILTER(Calc!$F$2:$F$375,Calc!$B$2:$B$375=$O$19),29),"")</f>
        <v/>
      </c>
      <c r="R49" s="15" t="str">
        <f>IFERROR(INDEX(_xlfn._xlws.FILTER(Calc!$H$2:$H$375,Calc!$B$2:$B$375=$O$19),29),"")</f>
        <v/>
      </c>
      <c r="S49" s="13" t="str">
        <f>IFERROR(INDEX(_xlfn._xlws.FILTER(Calc!$G$2:$G$375,Calc!$B$2:$B$375=$O$19),29),"")</f>
        <v/>
      </c>
      <c r="U49" t="e">
        <v>#N/A</v>
      </c>
      <c r="V49" t="e">
        <v>#N/A</v>
      </c>
      <c r="W49" t="e">
        <v>#N/A</v>
      </c>
      <c r="X49" t="e">
        <v>#N/A</v>
      </c>
      <c r="Y49" t="str">
        <v>Natural Order</v>
      </c>
    </row>
    <row r="50" spans="1:25" x14ac:dyDescent="0.25">
      <c r="B50" s="1" t="s">
        <v>100</v>
      </c>
      <c r="C50" s="32" t="s">
        <v>492</v>
      </c>
      <c r="D50" s="27"/>
      <c r="E50" s="28"/>
      <c r="F50" s="1" t="s">
        <v>101</v>
      </c>
      <c r="G50" s="44" t="str">
        <f>IFERROR(INDEX(Calc!$H$2:$H$375,MATCH($C$50,Calc!$D$2:$D$375,0)),"")</f>
        <v>Gain Advantage tracking wounded or Injured creatures. You sense fear in conversation without testing.</v>
      </c>
      <c r="H50" s="27"/>
      <c r="I50" s="27"/>
      <c r="J50" s="27"/>
      <c r="K50" s="27"/>
      <c r="L50" s="28"/>
      <c r="N50" s="13" t="str">
        <f>IFERROR(INDEX(_xlfn._xlws.FILTER(Calc!$D$2:$D$375,Calc!$B$2:$B$375=$O$19),30),"")</f>
        <v/>
      </c>
      <c r="O50" s="14" t="str">
        <f>IFERROR(INDEX(_xlfn._xlws.FILTER(Calc!$C$2:$C$375,Calc!$B$2:$B$375=$O$19),30),"")</f>
        <v/>
      </c>
      <c r="P50" s="14" t="str">
        <f>IFERROR(INDEX(_xlfn._xlws.FILTER(Calc!$E$2:$E$375,Calc!$B$2:$B$375=$O$19),30),"")</f>
        <v/>
      </c>
      <c r="Q50" s="14" t="str">
        <f>IFERROR(INDEX(_xlfn._xlws.FILTER(Calc!$F$2:$F$375,Calc!$B$2:$B$375=$O$19),30),"")</f>
        <v/>
      </c>
      <c r="R50" s="15" t="str">
        <f>IFERROR(INDEX(_xlfn._xlws.FILTER(Calc!$H$2:$H$375,Calc!$B$2:$B$375=$O$19),30),"")</f>
        <v/>
      </c>
      <c r="S50" s="13" t="str">
        <f>IFERROR(INDEX(_xlfn._xlws.FILTER(Calc!$G$2:$G$375,Calc!$B$2:$B$375=$O$19),30),"")</f>
        <v/>
      </c>
      <c r="U50" t="e">
        <v>#N/A</v>
      </c>
      <c r="V50" t="e">
        <v>#N/A</v>
      </c>
      <c r="W50" t="e">
        <v>#N/A</v>
      </c>
      <c r="X50" t="e">
        <v>#N/A</v>
      </c>
      <c r="Y50" t="str">
        <v>Pattern Recognition</v>
      </c>
    </row>
    <row r="51" spans="1:25" x14ac:dyDescent="0.25">
      <c r="N51" s="13" t="str">
        <f>IFERROR(INDEX(_xlfn._xlws.FILTER(Calc!$D$2:$D$375,Calc!$B$2:$B$375=$O$19),31),"")</f>
        <v/>
      </c>
      <c r="O51" s="14" t="str">
        <f>IFERROR(INDEX(_xlfn._xlws.FILTER(Calc!$C$2:$C$375,Calc!$B$2:$B$375=$O$19),31),"")</f>
        <v/>
      </c>
      <c r="P51" s="14" t="str">
        <f>IFERROR(INDEX(_xlfn._xlws.FILTER(Calc!$E$2:$E$375,Calc!$B$2:$B$375=$O$19),31),"")</f>
        <v/>
      </c>
      <c r="Q51" s="14" t="str">
        <f>IFERROR(INDEX(_xlfn._xlws.FILTER(Calc!$F$2:$F$375,Calc!$B$2:$B$375=$O$19),31),"")</f>
        <v/>
      </c>
      <c r="R51" s="15" t="str">
        <f>IFERROR(INDEX(_xlfn._xlws.FILTER(Calc!$H$2:$H$375,Calc!$B$2:$B$375=$O$19),31),"")</f>
        <v/>
      </c>
      <c r="S51" s="13" t="str">
        <f>IFERROR(INDEX(_xlfn._xlws.FILTER(Calc!$G$2:$G$375,Calc!$B$2:$B$375=$O$19),31),"")</f>
        <v/>
      </c>
      <c r="U51" t="e">
        <v>#N/A</v>
      </c>
      <c r="V51" t="e">
        <v>#N/A</v>
      </c>
      <c r="W51" t="e">
        <v>#N/A</v>
      </c>
      <c r="X51" t="e">
        <v>#N/A</v>
      </c>
      <c r="Y51" t="str">
        <v>Predator's Taxonomy</v>
      </c>
    </row>
    <row r="52" spans="1:25" x14ac:dyDescent="0.25">
      <c r="A52" s="33" t="s">
        <v>110</v>
      </c>
      <c r="B52" s="34"/>
      <c r="C52" s="34"/>
      <c r="D52" s="34"/>
      <c r="E52" s="34"/>
      <c r="F52" s="34"/>
      <c r="G52" s="34"/>
      <c r="H52" s="34"/>
      <c r="I52" s="34"/>
      <c r="J52" s="34"/>
      <c r="K52" s="34"/>
      <c r="L52" s="34"/>
      <c r="N52" s="13" t="str">
        <f>IFERROR(INDEX(_xlfn._xlws.FILTER(Calc!$D$2:$D$375,Calc!$B$2:$B$375=$O$19),32),"")</f>
        <v/>
      </c>
      <c r="O52" s="14" t="str">
        <f>IFERROR(INDEX(_xlfn._xlws.FILTER(Calc!$C$2:$C$375,Calc!$B$2:$B$375=$O$19),32),"")</f>
        <v/>
      </c>
      <c r="P52" s="14" t="str">
        <f>IFERROR(INDEX(_xlfn._xlws.FILTER(Calc!$E$2:$E$375,Calc!$B$2:$B$375=$O$19),32),"")</f>
        <v/>
      </c>
      <c r="Q52" s="14" t="str">
        <f>IFERROR(INDEX(_xlfn._xlws.FILTER(Calc!$F$2:$F$375,Calc!$B$2:$B$375=$O$19),32),"")</f>
        <v/>
      </c>
      <c r="R52" s="15" t="str">
        <f>IFERROR(INDEX(_xlfn._xlws.FILTER(Calc!$H$2:$H$375,Calc!$B$2:$B$375=$O$19),32),"")</f>
        <v/>
      </c>
      <c r="S52" s="13" t="str">
        <f>IFERROR(INDEX(_xlfn._xlws.FILTER(Calc!$G$2:$G$375,Calc!$B$2:$B$375=$O$19),32),"")</f>
        <v/>
      </c>
      <c r="Y52" t="str">
        <v>Environmental Reading</v>
      </c>
    </row>
    <row r="53" spans="1:25" x14ac:dyDescent="0.25">
      <c r="A53" s="7" t="s">
        <v>13</v>
      </c>
      <c r="B53" s="7" t="s">
        <v>54</v>
      </c>
      <c r="C53" s="45" t="s">
        <v>111</v>
      </c>
      <c r="D53" s="46"/>
      <c r="E53" s="45" t="s">
        <v>57</v>
      </c>
      <c r="F53" s="46"/>
      <c r="G53" s="46"/>
      <c r="H53" s="45" t="s">
        <v>112</v>
      </c>
      <c r="I53" s="46"/>
      <c r="J53" s="45" t="s">
        <v>57</v>
      </c>
      <c r="K53" s="46"/>
      <c r="L53" s="46"/>
      <c r="N53" s="13" t="str">
        <f>IFERROR(INDEX(_xlfn._xlws.FILTER(Calc!$D$2:$D$375,Calc!$B$2:$B$375=$O$19),33),"")</f>
        <v/>
      </c>
      <c r="O53" s="14" t="str">
        <f>IFERROR(INDEX(_xlfn._xlws.FILTER(Calc!$C$2:$C$375,Calc!$B$2:$B$375=$O$19),33),"")</f>
        <v/>
      </c>
      <c r="P53" s="14" t="str">
        <f>IFERROR(INDEX(_xlfn._xlws.FILTER(Calc!$E$2:$E$375,Calc!$B$2:$B$375=$O$19),33),"")</f>
        <v/>
      </c>
      <c r="Q53" s="14" t="str">
        <f>IFERROR(INDEX(_xlfn._xlws.FILTER(Calc!$F$2:$F$375,Calc!$B$2:$B$375=$O$19),33),"")</f>
        <v/>
      </c>
      <c r="R53" s="15" t="str">
        <f>IFERROR(INDEX(_xlfn._xlws.FILTER(Calc!$H$2:$H$375,Calc!$B$2:$B$375=$O$19),33),"")</f>
        <v/>
      </c>
      <c r="S53" s="13" t="str">
        <f>IFERROR(INDEX(_xlfn._xlws.FILTER(Calc!$G$2:$G$375,Calc!$B$2:$B$375=$O$19),33),"")</f>
        <v/>
      </c>
      <c r="Y53" t="str">
        <v>Reckless Experiment</v>
      </c>
    </row>
    <row r="54" spans="1:25" ht="35.25" customHeight="1" x14ac:dyDescent="0.25">
      <c r="A54" s="19" t="s">
        <v>113</v>
      </c>
      <c r="B54" s="4" t="s">
        <v>431</v>
      </c>
      <c r="C54" s="32" t="s">
        <v>432</v>
      </c>
      <c r="D54" s="28"/>
      <c r="E54" s="31" t="str">
        <f>IFERROR(INDEX(Calc!$H$2:$H$375,MATCH($C$54,Calc!$D$2:$D$375,0)),"")</f>
        <v>Test Influence vs. Spiritual Defense on a creature in Attunement Range. On success, it must Strike the nearest creature or lose its Reaction.</v>
      </c>
      <c r="F54" s="27"/>
      <c r="G54" s="28"/>
      <c r="H54" s="32"/>
      <c r="I54" s="28"/>
      <c r="J54" s="31" t="str">
        <f>IFERROR(INDEX(Calc!$H$2:$H$375,MATCH($H$54,Calc!$D$2:$D$375,0)),"")</f>
        <v/>
      </c>
      <c r="K54" s="27"/>
      <c r="L54" s="28"/>
      <c r="N54" s="13" t="str">
        <f>IFERROR(INDEX(_xlfn._xlws.FILTER(Calc!$D$2:$D$375,Calc!$B$2:$B$375=$O$19),34),"")</f>
        <v/>
      </c>
      <c r="O54" s="14" t="str">
        <f>IFERROR(INDEX(_xlfn._xlws.FILTER(Calc!$C$2:$C$375,Calc!$B$2:$B$375=$O$19),34),"")</f>
        <v/>
      </c>
      <c r="P54" s="14" t="str">
        <f>IFERROR(INDEX(_xlfn._xlws.FILTER(Calc!$E$2:$E$375,Calc!$B$2:$B$375=$O$19),34),"")</f>
        <v/>
      </c>
      <c r="Q54" s="14" t="str">
        <f>IFERROR(INDEX(_xlfn._xlws.FILTER(Calc!$F$2:$F$375,Calc!$B$2:$B$375=$O$19),34),"")</f>
        <v/>
      </c>
      <c r="R54" s="15" t="str">
        <f>IFERROR(INDEX(_xlfn._xlws.FILTER(Calc!$H$2:$H$375,Calc!$B$2:$B$375=$O$19),34),"")</f>
        <v/>
      </c>
      <c r="S54" s="13" t="str">
        <f>IFERROR(INDEX(_xlfn._xlws.FILTER(Calc!$G$2:$G$375,Calc!$B$2:$B$375=$O$19),34),"")</f>
        <v/>
      </c>
      <c r="Y54" t="str">
        <v>Trial and Error</v>
      </c>
    </row>
    <row r="55" spans="1:25" x14ac:dyDescent="0.25">
      <c r="A55" s="19" t="s">
        <v>114</v>
      </c>
      <c r="B55" s="4" t="s">
        <v>390</v>
      </c>
      <c r="C55" s="32" t="s">
        <v>391</v>
      </c>
      <c r="D55" s="28"/>
      <c r="E55" s="31" t="str">
        <f>IFERROR(INDEX(Calc!$H$2:$H$375,MATCH($C$55,Calc!$D$2:$D$375,0)),"")</f>
        <v>On a Fast turn, add half [Die] to your first Physical test.</v>
      </c>
      <c r="F55" s="27"/>
      <c r="G55" s="28"/>
      <c r="H55" s="32"/>
      <c r="I55" s="28"/>
      <c r="J55" s="31" t="str">
        <f>IFERROR(INDEX(Calc!$H$2:$H$375,MATCH($H$55,Calc!$D$2:$D$375,0)),"")</f>
        <v/>
      </c>
      <c r="K55" s="27"/>
      <c r="L55" s="28"/>
      <c r="N55" s="13" t="str">
        <f>IFERROR(INDEX(_xlfn._xlws.FILTER(Calc!$D$2:$D$375,Calc!$B$2:$B$375=$O$19),35),"")</f>
        <v/>
      </c>
      <c r="O55" s="14" t="str">
        <f>IFERROR(INDEX(_xlfn._xlws.FILTER(Calc!$C$2:$C$375,Calc!$B$2:$B$375=$O$19),35),"")</f>
        <v/>
      </c>
      <c r="P55" s="14" t="str">
        <f>IFERROR(INDEX(_xlfn._xlws.FILTER(Calc!$E$2:$E$375,Calc!$B$2:$B$375=$O$19),35),"")</f>
        <v/>
      </c>
      <c r="Q55" s="14" t="str">
        <f>IFERROR(INDEX(_xlfn._xlws.FILTER(Calc!$F$2:$F$375,Calc!$B$2:$B$375=$O$19),35),"")</f>
        <v/>
      </c>
      <c r="R55" s="15" t="str">
        <f>IFERROR(INDEX(_xlfn._xlws.FILTER(Calc!$H$2:$H$375,Calc!$B$2:$B$375=$O$19),35),"")</f>
        <v/>
      </c>
      <c r="S55" s="13" t="str">
        <f>IFERROR(INDEX(_xlfn._xlws.FILTER(Calc!$G$2:$G$375,Calc!$B$2:$B$375=$O$19),35),"")</f>
        <v/>
      </c>
      <c r="Y55" t="str">
        <v>Passionate Breakthrough</v>
      </c>
    </row>
    <row r="56" spans="1:25" ht="38.25" customHeight="1" x14ac:dyDescent="0.25">
      <c r="A56" s="19" t="s">
        <v>115</v>
      </c>
      <c r="B56" s="4" t="s">
        <v>1007</v>
      </c>
      <c r="C56" s="32" t="s">
        <v>1010</v>
      </c>
      <c r="D56" s="28"/>
      <c r="E56" s="31" t="str">
        <f>IFERROR(INDEX(Calc!$H$2:$H$375,MATCH($C$56,Calc!$D$2:$D$375,0)),"")</f>
        <v>Gain a weapon expertise. Gain an additional skill from Erudition. You can now choose physical skills with Erudition.</v>
      </c>
      <c r="F56" s="27"/>
      <c r="G56" s="28"/>
      <c r="H56" s="32"/>
      <c r="I56" s="28"/>
      <c r="J56" s="31" t="str">
        <f>IFERROR(INDEX(Calc!$H$2:$H$375,MATCH($H$56,Calc!$D$2:$D$375,0)),"")</f>
        <v/>
      </c>
      <c r="K56" s="27"/>
      <c r="L56" s="28"/>
      <c r="N56" s="13" t="str">
        <f>IFERROR(INDEX(_xlfn._xlws.FILTER(Calc!$D$2:$D$375,Calc!$B$2:$B$375=$O$19),36),"")</f>
        <v/>
      </c>
      <c r="O56" s="14" t="str">
        <f>IFERROR(INDEX(_xlfn._xlws.FILTER(Calc!$C$2:$C$375,Calc!$B$2:$B$375=$O$19),36),"")</f>
        <v/>
      </c>
      <c r="P56" s="14" t="str">
        <f>IFERROR(INDEX(_xlfn._xlws.FILTER(Calc!$E$2:$E$375,Calc!$B$2:$B$375=$O$19),36),"")</f>
        <v/>
      </c>
      <c r="Q56" s="14" t="str">
        <f>IFERROR(INDEX(_xlfn._xlws.FILTER(Calc!$F$2:$F$375,Calc!$B$2:$B$375=$O$19),36),"")</f>
        <v/>
      </c>
      <c r="R56" s="15" t="str">
        <f>IFERROR(INDEX(_xlfn._xlws.FILTER(Calc!$H$2:$H$375,Calc!$B$2:$B$375=$O$19),36),"")</f>
        <v/>
      </c>
      <c r="S56" s="13" t="str">
        <f>IFERROR(INDEX(_xlfn._xlws.FILTER(Calc!$G$2:$G$375,Calc!$B$2:$B$375=$O$19),36),"")</f>
        <v/>
      </c>
      <c r="Y56" t="str">
        <v>Shared Revelation</v>
      </c>
    </row>
    <row r="57" spans="1:25" ht="27.75" customHeight="1" x14ac:dyDescent="0.25">
      <c r="A57" s="19" t="s">
        <v>116</v>
      </c>
      <c r="B57" s="4" t="s">
        <v>1007</v>
      </c>
      <c r="C57" s="32" t="s">
        <v>1012</v>
      </c>
      <c r="D57" s="28"/>
      <c r="E57" s="31" t="str">
        <f>IFERROR(INDEX(Calc!$H$2:$H$375,MATCH($C$57,Calc!$D$2:$D$375,0)),"")</f>
        <v>Your defenses increase by 2 from the start of each round until you take your turn.</v>
      </c>
      <c r="F57" s="27"/>
      <c r="G57" s="28"/>
      <c r="H57" s="32"/>
      <c r="I57" s="28"/>
      <c r="J57" s="31" t="str">
        <f>IFERROR(INDEX(Calc!$H$2:$H$375,MATCH($H$57,Calc!$D$2:$D$375,0)),"")</f>
        <v/>
      </c>
      <c r="K57" s="27"/>
      <c r="L57" s="28"/>
      <c r="N57" s="13" t="str">
        <f>IFERROR(INDEX(_xlfn._xlws.FILTER(Calc!$D$2:$D$375,Calc!$B$2:$B$375=$O$19),37),"")</f>
        <v/>
      </c>
      <c r="O57" s="14" t="str">
        <f>IFERROR(INDEX(_xlfn._xlws.FILTER(Calc!$C$2:$C$375,Calc!$B$2:$B$375=$O$19),37),"")</f>
        <v/>
      </c>
      <c r="P57" s="14" t="str">
        <f>IFERROR(INDEX(_xlfn._xlws.FILTER(Calc!$E$2:$E$375,Calc!$B$2:$B$375=$O$19),37),"")</f>
        <v/>
      </c>
      <c r="Q57" s="14" t="str">
        <f>IFERROR(INDEX(_xlfn._xlws.FILTER(Calc!$F$2:$F$375,Calc!$B$2:$B$375=$O$19),37),"")</f>
        <v/>
      </c>
      <c r="R57" s="15" t="str">
        <f>IFERROR(INDEX(_xlfn._xlws.FILTER(Calc!$H$2:$H$375,Calc!$B$2:$B$375=$O$19),37),"")</f>
        <v/>
      </c>
      <c r="S57" s="13" t="str">
        <f>IFERROR(INDEX(_xlfn._xlws.FILTER(Calc!$G$2:$G$375,Calc!$B$2:$B$375=$O$19),37),"")</f>
        <v/>
      </c>
      <c r="Y57" t="str">
        <v>The Eureka Moment</v>
      </c>
    </row>
    <row r="58" spans="1:25" x14ac:dyDescent="0.25">
      <c r="A58" s="19" t="s">
        <v>117</v>
      </c>
      <c r="B58" s="4"/>
      <c r="C58" s="32"/>
      <c r="D58" s="28"/>
      <c r="E58" s="31" t="str">
        <f>IFERROR(INDEX(Calc!$H$2:$H$375,MATCH($C$58,Calc!$D$2:$D$375,0)),"")</f>
        <v/>
      </c>
      <c r="F58" s="27"/>
      <c r="G58" s="28"/>
      <c r="H58" s="32"/>
      <c r="I58" s="28"/>
      <c r="J58" s="31" t="str">
        <f>IFERROR(INDEX(Calc!$H$2:$H$375,MATCH($H$58,Calc!$D$2:$D$375,0)),"")</f>
        <v/>
      </c>
      <c r="K58" s="27"/>
      <c r="L58" s="28"/>
      <c r="N58" s="13" t="str">
        <f>IFERROR(INDEX(_xlfn._xlws.FILTER(Calc!$D$2:$D$375,Calc!$B$2:$B$375=$O$19),38),"")</f>
        <v/>
      </c>
      <c r="O58" s="14" t="str">
        <f>IFERROR(INDEX(_xlfn._xlws.FILTER(Calc!$C$2:$C$375,Calc!$B$2:$B$375=$O$19),38),"")</f>
        <v/>
      </c>
      <c r="P58" s="14" t="str">
        <f>IFERROR(INDEX(_xlfn._xlws.FILTER(Calc!$E$2:$E$375,Calc!$B$2:$B$375=$O$19),38),"")</f>
        <v/>
      </c>
      <c r="Q58" s="14" t="str">
        <f>IFERROR(INDEX(_xlfn._xlws.FILTER(Calc!$F$2:$F$375,Calc!$B$2:$B$375=$O$19),38),"")</f>
        <v/>
      </c>
      <c r="R58" s="15" t="str">
        <f>IFERROR(INDEX(_xlfn._xlws.FILTER(Calc!$H$2:$H$375,Calc!$B$2:$B$375=$O$19),38),"")</f>
        <v/>
      </c>
      <c r="S58" s="13" t="str">
        <f>IFERROR(INDEX(_xlfn._xlws.FILTER(Calc!$G$2:$G$375,Calc!$B$2:$B$375=$O$19),38),"")</f>
        <v/>
      </c>
      <c r="Y58" t="str">
        <v>Forbidden Knowledge</v>
      </c>
    </row>
    <row r="59" spans="1:25" x14ac:dyDescent="0.25">
      <c r="A59" s="20" t="s">
        <v>118</v>
      </c>
      <c r="B59" s="4"/>
      <c r="C59" s="59"/>
      <c r="D59" s="28"/>
      <c r="E59" s="50" t="str">
        <f>IFERROR(INDEX(Calc!$H$2:$H$375,MATCH($C$59,Calc!$D$2:$D$375,0)),"")</f>
        <v/>
      </c>
      <c r="F59" s="27"/>
      <c r="G59" s="28"/>
      <c r="H59" s="59"/>
      <c r="I59" s="28"/>
      <c r="J59" s="50" t="str">
        <f>IFERROR(INDEX(Calc!$H$2:$H$375,MATCH($H$59,Calc!$D$2:$D$375,0)),"")</f>
        <v/>
      </c>
      <c r="K59" s="27"/>
      <c r="L59" s="28"/>
      <c r="N59" s="13" t="str">
        <f>IFERROR(INDEX(_xlfn._xlws.FILTER(Calc!$D$2:$D$375,Calc!$B$2:$B$375=$O$19),39),"")</f>
        <v/>
      </c>
      <c r="O59" s="14" t="str">
        <f>IFERROR(INDEX(_xlfn._xlws.FILTER(Calc!$C$2:$C$375,Calc!$B$2:$B$375=$O$19),39),"")</f>
        <v/>
      </c>
      <c r="P59" s="14" t="str">
        <f>IFERROR(INDEX(_xlfn._xlws.FILTER(Calc!$E$2:$E$375,Calc!$B$2:$B$375=$O$19),39),"")</f>
        <v/>
      </c>
      <c r="Q59" s="14" t="str">
        <f>IFERROR(INDEX(_xlfn._xlws.FILTER(Calc!$F$2:$F$375,Calc!$B$2:$B$375=$O$19),39),"")</f>
        <v/>
      </c>
      <c r="R59" s="15" t="str">
        <f>IFERROR(INDEX(_xlfn._xlws.FILTER(Calc!$H$2:$H$375,Calc!$B$2:$B$375=$O$19),39),"")</f>
        <v/>
      </c>
      <c r="S59" s="13" t="str">
        <f>IFERROR(INDEX(_xlfn._xlws.FILTER(Calc!$G$2:$G$375,Calc!$B$2:$B$375=$O$19),39),"")</f>
        <v/>
      </c>
      <c r="Y59" t="str">
        <v>Efficient Engineer</v>
      </c>
    </row>
    <row r="60" spans="1:25" x14ac:dyDescent="0.25">
      <c r="A60" s="19" t="s">
        <v>119</v>
      </c>
      <c r="B60" s="4"/>
      <c r="C60" s="32"/>
      <c r="D60" s="28"/>
      <c r="E60" s="31" t="str">
        <f>IFERROR(INDEX(Calc!$H$2:$H$375,MATCH($C$60,Calc!$D$2:$D$375,0)),"")</f>
        <v/>
      </c>
      <c r="F60" s="27"/>
      <c r="G60" s="28"/>
      <c r="H60" s="32"/>
      <c r="I60" s="28"/>
      <c r="J60" s="31" t="str">
        <f>IFERROR(INDEX(Calc!$H$2:$H$375,MATCH($H$60,Calc!$D$2:$D$375,0)),"")</f>
        <v/>
      </c>
      <c r="K60" s="27"/>
      <c r="L60" s="28"/>
      <c r="N60" s="13" t="str">
        <f>IFERROR(INDEX(_xlfn._xlws.FILTER(Calc!$D$2:$D$375,Calc!$B$2:$B$375=$O$19),40),"")</f>
        <v/>
      </c>
      <c r="O60" s="14" t="str">
        <f>IFERROR(INDEX(_xlfn._xlws.FILTER(Calc!$C$2:$C$375,Calc!$B$2:$B$375=$O$19),40),"")</f>
        <v/>
      </c>
      <c r="P60" s="14" t="str">
        <f>IFERROR(INDEX(_xlfn._xlws.FILTER(Calc!$E$2:$E$375,Calc!$B$2:$B$375=$O$19),40),"")</f>
        <v/>
      </c>
      <c r="Q60" s="14" t="str">
        <f>IFERROR(INDEX(_xlfn._xlws.FILTER(Calc!$F$2:$F$375,Calc!$B$2:$B$375=$O$19),40),"")</f>
        <v/>
      </c>
      <c r="R60" s="15" t="str">
        <f>IFERROR(INDEX(_xlfn._xlws.FILTER(Calc!$H$2:$H$375,Calc!$B$2:$B$375=$O$19),40),"")</f>
        <v/>
      </c>
      <c r="S60" s="13" t="str">
        <f>IFERROR(INDEX(_xlfn._xlws.FILTER(Calc!$G$2:$G$375,Calc!$B$2:$B$375=$O$19),40),"")</f>
        <v/>
      </c>
      <c r="Y60" t="str">
        <v>Prized Acquisition</v>
      </c>
    </row>
    <row r="61" spans="1:25" x14ac:dyDescent="0.25">
      <c r="A61" s="19" t="s">
        <v>120</v>
      </c>
      <c r="B61" s="4"/>
      <c r="C61" s="32"/>
      <c r="D61" s="28"/>
      <c r="E61" s="31" t="str">
        <f>IFERROR(INDEX(Calc!$H$2:$H$375,MATCH($C$61,Calc!$D$2:$D$375,0)),"")</f>
        <v/>
      </c>
      <c r="F61" s="27"/>
      <c r="G61" s="28"/>
      <c r="H61" s="32"/>
      <c r="I61" s="28"/>
      <c r="J61" s="31" t="str">
        <f>IFERROR(INDEX(Calc!$H$2:$H$375,MATCH($H$61,Calc!$D$2:$D$375,0)),"")</f>
        <v/>
      </c>
      <c r="K61" s="27"/>
      <c r="L61" s="28"/>
      <c r="N61" s="13" t="str">
        <f>IFERROR(INDEX(_xlfn._xlws.FILTER(Calc!$D$2:$D$375,Calc!$B$2:$B$375=$O$19),41),"")</f>
        <v/>
      </c>
      <c r="O61" s="14" t="str">
        <f>IFERROR(INDEX(_xlfn._xlws.FILTER(Calc!$C$2:$C$375,Calc!$B$2:$B$375=$O$19),41),"")</f>
        <v/>
      </c>
      <c r="P61" s="14" t="str">
        <f>IFERROR(INDEX(_xlfn._xlws.FILTER(Calc!$E$2:$E$375,Calc!$B$2:$B$375=$O$19),41),"")</f>
        <v/>
      </c>
      <c r="Q61" s="14" t="str">
        <f>IFERROR(INDEX(_xlfn._xlws.FILTER(Calc!$F$2:$F$375,Calc!$B$2:$B$375=$O$19),41),"")</f>
        <v/>
      </c>
      <c r="R61" s="15" t="str">
        <f>IFERROR(INDEX(_xlfn._xlws.FILTER(Calc!$H$2:$H$375,Calc!$B$2:$B$375=$O$19),41),"")</f>
        <v/>
      </c>
      <c r="S61" s="13" t="str">
        <f>IFERROR(INDEX(_xlfn._xlws.FILTER(Calc!$G$2:$G$375,Calc!$B$2:$B$375=$O$19),41),"")</f>
        <v/>
      </c>
      <c r="Y61" t="str">
        <v>Deep Study</v>
      </c>
    </row>
    <row r="62" spans="1:25" x14ac:dyDescent="0.25">
      <c r="A62" s="19" t="s">
        <v>121</v>
      </c>
      <c r="B62" s="4"/>
      <c r="C62" s="32"/>
      <c r="D62" s="28"/>
      <c r="E62" s="31" t="str">
        <f>IFERROR(INDEX(Calc!$H$2:$H$375,MATCH($C$62,Calc!$D$2:$D$375,0)),"")</f>
        <v/>
      </c>
      <c r="F62" s="27"/>
      <c r="G62" s="28"/>
      <c r="H62" s="32"/>
      <c r="I62" s="28"/>
      <c r="J62" s="31" t="str">
        <f>IFERROR(INDEX(Calc!$H$2:$H$375,MATCH($H$62,Calc!$D$2:$D$375,0)),"")</f>
        <v/>
      </c>
      <c r="K62" s="27"/>
      <c r="L62" s="28"/>
      <c r="N62" s="13" t="str">
        <f>IFERROR(INDEX(_xlfn._xlws.FILTER(Calc!$D$2:$D$375,Calc!$B$2:$B$375=$O$19),42),"")</f>
        <v/>
      </c>
      <c r="O62" s="14" t="str">
        <f>IFERROR(INDEX(_xlfn._xlws.FILTER(Calc!$C$2:$C$375,Calc!$B$2:$B$375=$O$19),42),"")</f>
        <v/>
      </c>
      <c r="P62" s="14" t="str">
        <f>IFERROR(INDEX(_xlfn._xlws.FILTER(Calc!$E$2:$E$375,Calc!$B$2:$B$375=$O$19),42),"")</f>
        <v/>
      </c>
      <c r="Q62" s="14" t="str">
        <f>IFERROR(INDEX(_xlfn._xlws.FILTER(Calc!$F$2:$F$375,Calc!$B$2:$B$375=$O$19),42),"")</f>
        <v/>
      </c>
      <c r="R62" s="15" t="str">
        <f>IFERROR(INDEX(_xlfn._xlws.FILTER(Calc!$H$2:$H$375,Calc!$B$2:$B$375=$O$19),42),"")</f>
        <v/>
      </c>
      <c r="S62" s="13" t="str">
        <f>IFERROR(INDEX(_xlfn._xlws.FILTER(Calc!$G$2:$G$375,Calc!$B$2:$B$375=$O$19),42),"")</f>
        <v/>
      </c>
      <c r="Y62" t="str">
        <v>Inventive Design</v>
      </c>
    </row>
    <row r="63" spans="1:25" x14ac:dyDescent="0.25">
      <c r="A63" s="19" t="s">
        <v>122</v>
      </c>
      <c r="B63" s="4"/>
      <c r="C63" s="32"/>
      <c r="D63" s="28"/>
      <c r="E63" s="31" t="str">
        <f>IFERROR(INDEX(Calc!$H$2:$H$375,MATCH($C$63,Calc!$D$2:$D$375,0)),"")</f>
        <v/>
      </c>
      <c r="F63" s="27"/>
      <c r="G63" s="28"/>
      <c r="H63" s="32"/>
      <c r="I63" s="28"/>
      <c r="J63" s="31" t="str">
        <f>IFERROR(INDEX(Calc!$H$2:$H$375,MATCH($H$63,Calc!$D$2:$D$375,0)),"")</f>
        <v/>
      </c>
      <c r="K63" s="27"/>
      <c r="L63" s="28"/>
      <c r="N63" s="13" t="str">
        <f>IFERROR(INDEX(_xlfn._xlws.FILTER(Calc!$D$2:$D$375,Calc!$B$2:$B$375=$O$19),43),"")</f>
        <v/>
      </c>
      <c r="O63" s="14" t="str">
        <f>IFERROR(INDEX(_xlfn._xlws.FILTER(Calc!$C$2:$C$375,Calc!$B$2:$B$375=$O$19),43),"")</f>
        <v/>
      </c>
      <c r="P63" s="14" t="str">
        <f>IFERROR(INDEX(_xlfn._xlws.FILTER(Calc!$E$2:$E$375,Calc!$B$2:$B$375=$O$19),43),"")</f>
        <v/>
      </c>
      <c r="Q63" s="14" t="str">
        <f>IFERROR(INDEX(_xlfn._xlws.FILTER(Calc!$F$2:$F$375,Calc!$B$2:$B$375=$O$19),43),"")</f>
        <v/>
      </c>
      <c r="R63" s="15" t="str">
        <f>IFERROR(INDEX(_xlfn._xlws.FILTER(Calc!$H$2:$H$375,Calc!$B$2:$B$375=$O$19),43),"")</f>
        <v/>
      </c>
      <c r="S63" s="13" t="str">
        <f>IFERROR(INDEX(_xlfn._xlws.FILTER(Calc!$G$2:$G$375,Calc!$B$2:$B$375=$O$19),43),"")</f>
        <v/>
      </c>
      <c r="Y63" t="str">
        <v>Fine Handiwork</v>
      </c>
    </row>
    <row r="64" spans="1:25" x14ac:dyDescent="0.25">
      <c r="A64" s="19" t="s">
        <v>123</v>
      </c>
      <c r="B64" s="4"/>
      <c r="C64" s="32"/>
      <c r="D64" s="28"/>
      <c r="E64" s="31" t="str">
        <f>IFERROR(INDEX(Calc!$H$2:$H$375,MATCH($C$64,Calc!$D$2:$D$375,0)),"")</f>
        <v/>
      </c>
      <c r="F64" s="27"/>
      <c r="G64" s="28"/>
      <c r="H64" s="32"/>
      <c r="I64" s="28"/>
      <c r="J64" s="31" t="str">
        <f>IFERROR(INDEX(Calc!$H$2:$H$375,MATCH($H$64,Calc!$D$2:$D$375,0)),"")</f>
        <v/>
      </c>
      <c r="K64" s="27"/>
      <c r="L64" s="28"/>
      <c r="N64" s="13" t="str">
        <f>IFERROR(INDEX(_xlfn._xlws.FILTER(Calc!$D$2:$D$375,Calc!$B$2:$B$375=$O$19),44),"")</f>
        <v/>
      </c>
      <c r="O64" s="14" t="str">
        <f>IFERROR(INDEX(_xlfn._xlws.FILTER(Calc!$C$2:$C$375,Calc!$B$2:$B$375=$O$19),44),"")</f>
        <v/>
      </c>
      <c r="P64" s="14" t="str">
        <f>IFERROR(INDEX(_xlfn._xlws.FILTER(Calc!$E$2:$E$375,Calc!$B$2:$B$375=$O$19),44),"")</f>
        <v/>
      </c>
      <c r="Q64" s="14" t="str">
        <f>IFERROR(INDEX(_xlfn._xlws.FILTER(Calc!$F$2:$F$375,Calc!$B$2:$B$375=$O$19),44),"")</f>
        <v/>
      </c>
      <c r="R64" s="15" t="str">
        <f>IFERROR(INDEX(_xlfn._xlws.FILTER(Calc!$H$2:$H$375,Calc!$B$2:$B$375=$O$19),44),"")</f>
        <v/>
      </c>
      <c r="S64" s="13" t="str">
        <f>IFERROR(INDEX(_xlfn._xlws.FILTER(Calc!$G$2:$G$375,Calc!$B$2:$B$375=$O$19),44),"")</f>
        <v/>
      </c>
      <c r="Y64" t="str">
        <v>Overcharge</v>
      </c>
    </row>
    <row r="65" spans="1:25" x14ac:dyDescent="0.25">
      <c r="A65" s="20" t="s">
        <v>124</v>
      </c>
      <c r="B65" s="4"/>
      <c r="C65" s="59"/>
      <c r="D65" s="28"/>
      <c r="E65" s="50" t="str">
        <f>IFERROR(INDEX(Calc!$H$2:$H$375,MATCH($C$65,Calc!$D$2:$D$375,0)),"")</f>
        <v/>
      </c>
      <c r="F65" s="27"/>
      <c r="G65" s="28"/>
      <c r="H65" s="59"/>
      <c r="I65" s="28"/>
      <c r="J65" s="50" t="str">
        <f>IFERROR(INDEX(Calc!$H$2:$H$375,MATCH($H$65,Calc!$D$2:$D$375,0)),"")</f>
        <v/>
      </c>
      <c r="K65" s="27"/>
      <c r="L65" s="28"/>
      <c r="N65" s="13" t="str">
        <f>IFERROR(INDEX(_xlfn._xlws.FILTER(Calc!$D$2:$D$375,Calc!$B$2:$B$375=$O$19),45),"")</f>
        <v/>
      </c>
      <c r="O65" s="14" t="str">
        <f>IFERROR(INDEX(_xlfn._xlws.FILTER(Calc!$C$2:$C$375,Calc!$B$2:$B$375=$O$19),45),"")</f>
        <v/>
      </c>
      <c r="P65" s="14" t="str">
        <f>IFERROR(INDEX(_xlfn._xlws.FILTER(Calc!$E$2:$E$375,Calc!$B$2:$B$375=$O$19),45),"")</f>
        <v/>
      </c>
      <c r="Q65" s="14" t="str">
        <f>IFERROR(INDEX(_xlfn._xlws.FILTER(Calc!$F$2:$F$375,Calc!$B$2:$B$375=$O$19),45),"")</f>
        <v/>
      </c>
      <c r="R65" s="15" t="str">
        <f>IFERROR(INDEX(_xlfn._xlws.FILTER(Calc!$H$2:$H$375,Calc!$B$2:$B$375=$O$19),45),"")</f>
        <v/>
      </c>
      <c r="S65" s="13" t="str">
        <f>IFERROR(INDEX(_xlfn._xlws.FILTER(Calc!$G$2:$G$375,Calc!$B$2:$B$375=$O$19),45),"")</f>
        <v/>
      </c>
      <c r="Y65" t="str">
        <v>Experimental Tinkering</v>
      </c>
    </row>
    <row r="66" spans="1:25" x14ac:dyDescent="0.25">
      <c r="A66" s="19" t="s">
        <v>125</v>
      </c>
      <c r="B66" s="4"/>
      <c r="C66" s="32"/>
      <c r="D66" s="28"/>
      <c r="E66" s="31" t="str">
        <f>IFERROR(INDEX(Calc!$H$2:$H$375,MATCH($C$66,Calc!$D$2:$D$375,0)),"")</f>
        <v/>
      </c>
      <c r="F66" s="27"/>
      <c r="G66" s="28"/>
      <c r="H66" s="32"/>
      <c r="I66" s="28"/>
      <c r="J66" s="31" t="str">
        <f>IFERROR(INDEX(Calc!$H$2:$H$375,MATCH($H$66,Calc!$D$2:$D$375,0)),"")</f>
        <v/>
      </c>
      <c r="K66" s="27"/>
      <c r="L66" s="28"/>
      <c r="N66" s="13" t="str">
        <f>IFERROR(INDEX(_xlfn._xlws.FILTER(Calc!$D$2:$D$375,Calc!$B$2:$B$375=$O$19),46),"")</f>
        <v/>
      </c>
      <c r="O66" s="14" t="str">
        <f>IFERROR(INDEX(_xlfn._xlws.FILTER(Calc!$C$2:$C$375,Calc!$B$2:$B$375=$O$19),46),"")</f>
        <v/>
      </c>
      <c r="P66" s="14" t="str">
        <f>IFERROR(INDEX(_xlfn._xlws.FILTER(Calc!$E$2:$E$375,Calc!$B$2:$B$375=$O$19),46),"")</f>
        <v/>
      </c>
      <c r="Q66" s="14" t="str">
        <f>IFERROR(INDEX(_xlfn._xlws.FILTER(Calc!$F$2:$F$375,Calc!$B$2:$B$375=$O$19),46),"")</f>
        <v/>
      </c>
      <c r="R66" s="15" t="str">
        <f>IFERROR(INDEX(_xlfn._xlws.FILTER(Calc!$H$2:$H$375,Calc!$B$2:$B$375=$O$19),46),"")</f>
        <v/>
      </c>
      <c r="S66" s="13" t="str">
        <f>IFERROR(INDEX(_xlfn._xlws.FILTER(Calc!$G$2:$G$375,Calc!$B$2:$B$375=$O$19),46),"")</f>
        <v/>
      </c>
      <c r="Y66" t="str">
        <v>Overwhelm with Details</v>
      </c>
    </row>
    <row r="67" spans="1:25" x14ac:dyDescent="0.25">
      <c r="A67" s="19" t="s">
        <v>126</v>
      </c>
      <c r="B67" s="4"/>
      <c r="C67" s="32"/>
      <c r="D67" s="28"/>
      <c r="E67" s="31" t="str">
        <f>IFERROR(INDEX(Calc!$H$2:$H$375,MATCH($C$67,Calc!$D$2:$D$375,0)),"")</f>
        <v/>
      </c>
      <c r="F67" s="27"/>
      <c r="G67" s="28"/>
      <c r="H67" s="32"/>
      <c r="I67" s="28"/>
      <c r="J67" s="31" t="str">
        <f>IFERROR(INDEX(Calc!$H$2:$H$375,MATCH($H$67,Calc!$D$2:$D$375,0)),"")</f>
        <v/>
      </c>
      <c r="K67" s="27"/>
      <c r="L67" s="28"/>
      <c r="N67" s="13" t="str">
        <f>IFERROR(INDEX(_xlfn._xlws.FILTER(Calc!$D$2:$D$375,Calc!$B$2:$B$375=$O$19),47),"")</f>
        <v/>
      </c>
      <c r="O67" s="14" t="str">
        <f>IFERROR(INDEX(_xlfn._xlws.FILTER(Calc!$C$2:$C$375,Calc!$B$2:$B$375=$O$19),47),"")</f>
        <v/>
      </c>
      <c r="P67" s="14" t="str">
        <f>IFERROR(INDEX(_xlfn._xlws.FILTER(Calc!$E$2:$E$375,Calc!$B$2:$B$375=$O$19),47),"")</f>
        <v/>
      </c>
      <c r="Q67" s="14" t="str">
        <f>IFERROR(INDEX(_xlfn._xlws.FILTER(Calc!$F$2:$F$375,Calc!$B$2:$B$375=$O$19),47),"")</f>
        <v/>
      </c>
      <c r="R67" s="15" t="str">
        <f>IFERROR(INDEX(_xlfn._xlws.FILTER(Calc!$H$2:$H$375,Calc!$B$2:$B$375=$O$19),47),"")</f>
        <v/>
      </c>
      <c r="S67" s="13" t="str">
        <f>IFERROR(INDEX(_xlfn._xlws.FILTER(Calc!$G$2:$G$375,Calc!$B$2:$B$375=$O$19),47),"")</f>
        <v/>
      </c>
      <c r="Y67" t="str">
        <v>Strategize</v>
      </c>
    </row>
    <row r="68" spans="1:25" x14ac:dyDescent="0.25">
      <c r="A68" s="19" t="s">
        <v>127</v>
      </c>
      <c r="B68" s="4"/>
      <c r="C68" s="32"/>
      <c r="D68" s="28"/>
      <c r="E68" s="31" t="str">
        <f>IFERROR(INDEX(Calc!$H$2:$H$375,MATCH($C$68,Calc!$D$2:$D$375,0)),"")</f>
        <v/>
      </c>
      <c r="F68" s="27"/>
      <c r="G68" s="28"/>
      <c r="H68" s="32"/>
      <c r="I68" s="28"/>
      <c r="J68" s="31" t="str">
        <f>IFERROR(INDEX(Calc!$H$2:$H$375,MATCH($H$68,Calc!$D$2:$D$375,0)),"")</f>
        <v/>
      </c>
      <c r="K68" s="27"/>
      <c r="L68" s="28"/>
      <c r="N68" s="13" t="str">
        <f>IFERROR(INDEX(_xlfn._xlws.FILTER(Calc!$D$2:$D$375,Calc!$B$2:$B$375=$O$19),48),"")</f>
        <v/>
      </c>
      <c r="O68" s="14" t="str">
        <f>IFERROR(INDEX(_xlfn._xlws.FILTER(Calc!$C$2:$C$375,Calc!$B$2:$B$375=$O$19),48),"")</f>
        <v/>
      </c>
      <c r="P68" s="14" t="str">
        <f>IFERROR(INDEX(_xlfn._xlws.FILTER(Calc!$E$2:$E$375,Calc!$B$2:$B$375=$O$19),48),"")</f>
        <v/>
      </c>
      <c r="Q68" s="14" t="str">
        <f>IFERROR(INDEX(_xlfn._xlws.FILTER(Calc!$F$2:$F$375,Calc!$B$2:$B$375=$O$19),48),"")</f>
        <v/>
      </c>
      <c r="R68" s="15" t="str">
        <f>IFERROR(INDEX(_xlfn._xlws.FILTER(Calc!$H$2:$H$375,Calc!$B$2:$B$375=$O$19),48),"")</f>
        <v/>
      </c>
      <c r="S68" s="13" t="str">
        <f>IFERROR(INDEX(_xlfn._xlws.FILTER(Calc!$G$2:$G$375,Calc!$B$2:$B$375=$O$19),48),"")</f>
        <v/>
      </c>
      <c r="Y68" t="str">
        <v>Mind and Body</v>
      </c>
    </row>
    <row r="69" spans="1:25" x14ac:dyDescent="0.25">
      <c r="A69" s="19" t="s">
        <v>128</v>
      </c>
      <c r="B69" s="4"/>
      <c r="C69" s="32"/>
      <c r="D69" s="28"/>
      <c r="E69" s="31" t="str">
        <f>IFERROR(INDEX(Calc!$H$2:$H$375,MATCH($C$69,Calc!$D$2:$D$375,0)),"")</f>
        <v/>
      </c>
      <c r="F69" s="27"/>
      <c r="G69" s="28"/>
      <c r="H69" s="32"/>
      <c r="I69" s="28"/>
      <c r="J69" s="31" t="str">
        <f>IFERROR(INDEX(Calc!$H$2:$H$375,MATCH($H$69,Calc!$D$2:$D$375,0)),"")</f>
        <v/>
      </c>
      <c r="K69" s="27"/>
      <c r="L69" s="28"/>
      <c r="N69" s="13" t="str">
        <f>IFERROR(INDEX(_xlfn._xlws.FILTER(Calc!$D$2:$D$375,Calc!$B$2:$B$375=$O$19),49),"")</f>
        <v/>
      </c>
      <c r="O69" s="14" t="str">
        <f>IFERROR(INDEX(_xlfn._xlws.FILTER(Calc!$C$2:$C$375,Calc!$B$2:$B$375=$O$19),49),"")</f>
        <v/>
      </c>
      <c r="P69" s="14" t="str">
        <f>IFERROR(INDEX(_xlfn._xlws.FILTER(Calc!$E$2:$E$375,Calc!$B$2:$B$375=$O$19),49),"")</f>
        <v/>
      </c>
      <c r="Q69" s="14" t="str">
        <f>IFERROR(INDEX(_xlfn._xlws.FILTER(Calc!$F$2:$F$375,Calc!$B$2:$B$375=$O$19),49),"")</f>
        <v/>
      </c>
      <c r="R69" s="15" t="str">
        <f>IFERROR(INDEX(_xlfn._xlws.FILTER(Calc!$H$2:$H$375,Calc!$B$2:$B$375=$O$19),49),"")</f>
        <v/>
      </c>
      <c r="S69" s="13" t="str">
        <f>IFERROR(INDEX(_xlfn._xlws.FILTER(Calc!$G$2:$G$375,Calc!$B$2:$B$375=$O$19),49),"")</f>
        <v/>
      </c>
      <c r="Y69" t="str">
        <v>Composed</v>
      </c>
    </row>
    <row r="70" spans="1:25" x14ac:dyDescent="0.25">
      <c r="A70" s="19" t="s">
        <v>129</v>
      </c>
      <c r="B70" s="4"/>
      <c r="C70" s="32"/>
      <c r="D70" s="28"/>
      <c r="E70" s="31" t="str">
        <f>IFERROR(INDEX(Calc!$H$2:$H$375,MATCH($C$70,Calc!$D$2:$D$375,0)),"")</f>
        <v/>
      </c>
      <c r="F70" s="27"/>
      <c r="G70" s="28"/>
      <c r="H70" s="32"/>
      <c r="I70" s="28"/>
      <c r="J70" s="31" t="str">
        <f>IFERROR(INDEX(Calc!$H$2:$H$375,MATCH($H$70,Calc!$D$2:$D$375,0)),"")</f>
        <v/>
      </c>
      <c r="K70" s="27"/>
      <c r="L70" s="28"/>
      <c r="N70" s="13" t="str">
        <f>IFERROR(INDEX(_xlfn._xlws.FILTER(Calc!$D$2:$D$375,Calc!$B$2:$B$375=$O$19),50),"")</f>
        <v/>
      </c>
      <c r="O70" s="14" t="str">
        <f>IFERROR(INDEX(_xlfn._xlws.FILTER(Calc!$C$2:$C$375,Calc!$B$2:$B$375=$O$19),50),"")</f>
        <v/>
      </c>
      <c r="P70" s="14" t="str">
        <f>IFERROR(INDEX(_xlfn._xlws.FILTER(Calc!$E$2:$E$375,Calc!$B$2:$B$375=$O$19),50),"")</f>
        <v/>
      </c>
      <c r="Q70" s="14" t="str">
        <f>IFERROR(INDEX(_xlfn._xlws.FILTER(Calc!$F$2:$F$375,Calc!$B$2:$B$375=$O$19),50),"")</f>
        <v/>
      </c>
      <c r="R70" s="15" t="str">
        <f>IFERROR(INDEX(_xlfn._xlws.FILTER(Calc!$H$2:$H$375,Calc!$B$2:$B$375=$O$19),50),"")</f>
        <v/>
      </c>
      <c r="S70" s="13" t="str">
        <f>IFERROR(INDEX(_xlfn._xlws.FILTER(Calc!$G$2:$G$375,Calc!$B$2:$B$375=$O$19),50),"")</f>
        <v/>
      </c>
      <c r="Y70" t="str">
        <v>Know Your Moment</v>
      </c>
    </row>
    <row r="71" spans="1:25" x14ac:dyDescent="0.25">
      <c r="A71" s="20" t="s">
        <v>130</v>
      </c>
      <c r="B71" s="4"/>
      <c r="C71" s="59"/>
      <c r="D71" s="28"/>
      <c r="E71" s="50" t="str">
        <f>IFERROR(INDEX(Calc!$H$2:$H$375,MATCH($C$71,Calc!$D$2:$D$375,0)),"")</f>
        <v/>
      </c>
      <c r="F71" s="27"/>
      <c r="G71" s="28"/>
      <c r="H71" s="59"/>
      <c r="I71" s="28"/>
      <c r="J71" s="50" t="str">
        <f>IFERROR(INDEX(Calc!$H$2:$H$375,MATCH($H$71,Calc!$D$2:$D$375,0)),"")</f>
        <v/>
      </c>
      <c r="K71" s="27"/>
      <c r="L71" s="28"/>
      <c r="N71" s="13" t="str">
        <f>IFERROR(INDEX(_xlfn._xlws.FILTER(Calc!$D$2:$D$375,Calc!$B$2:$B$375=$O$19),51),"")</f>
        <v/>
      </c>
      <c r="O71" s="14" t="str">
        <f>IFERROR(INDEX(_xlfn._xlws.FILTER(Calc!$C$2:$C$375,Calc!$B$2:$B$375=$O$19),51),"")</f>
        <v/>
      </c>
      <c r="P71" s="14" t="str">
        <f>IFERROR(INDEX(_xlfn._xlws.FILTER(Calc!$E$2:$E$375,Calc!$B$2:$B$375=$O$19),51),"")</f>
        <v/>
      </c>
      <c r="Q71" s="14" t="str">
        <f>IFERROR(INDEX(_xlfn._xlws.FILTER(Calc!$F$2:$F$375,Calc!$B$2:$B$375=$O$19),51),"")</f>
        <v/>
      </c>
      <c r="R71" s="15" t="str">
        <f>IFERROR(INDEX(_xlfn._xlws.FILTER(Calc!$H$2:$H$375,Calc!$B$2:$B$375=$O$19),51),"")</f>
        <v/>
      </c>
      <c r="S71" s="13" t="str">
        <f>IFERROR(INDEX(_xlfn._xlws.FILTER(Calc!$G$2:$G$375,Calc!$B$2:$B$375=$O$19),51),"")</f>
        <v/>
      </c>
      <c r="Y71" t="str">
        <v>Deep Contemplation</v>
      </c>
    </row>
    <row r="72" spans="1:25" x14ac:dyDescent="0.25">
      <c r="A72" s="19" t="s">
        <v>131</v>
      </c>
      <c r="B72" s="4"/>
      <c r="C72" s="32"/>
      <c r="D72" s="28"/>
      <c r="E72" s="31" t="str">
        <f>IFERROR(INDEX(Calc!$H$2:$H$375,MATCH($C$72,Calc!$D$2:$D$375,0)),"")</f>
        <v/>
      </c>
      <c r="F72" s="27"/>
      <c r="G72" s="28"/>
      <c r="H72" s="32"/>
      <c r="I72" s="28"/>
      <c r="J72" s="31" t="str">
        <f>IFERROR(INDEX(Calc!$H$2:$H$375,MATCH($H$72,Calc!$D$2:$D$375,0)),"")</f>
        <v/>
      </c>
      <c r="K72" s="27"/>
      <c r="L72" s="28"/>
      <c r="N72" s="13" t="str">
        <f>IFERROR(INDEX(_xlfn._xlws.FILTER(Calc!$D$2:$D$375,Calc!$B$2:$B$375=$O$19),52),"")</f>
        <v/>
      </c>
      <c r="O72" s="14" t="str">
        <f>IFERROR(INDEX(_xlfn._xlws.FILTER(Calc!$C$2:$C$375,Calc!$B$2:$B$375=$O$19),52),"")</f>
        <v/>
      </c>
      <c r="P72" s="14" t="str">
        <f>IFERROR(INDEX(_xlfn._xlws.FILTER(Calc!$E$2:$E$375,Calc!$B$2:$B$375=$O$19),52),"")</f>
        <v/>
      </c>
      <c r="Q72" s="14" t="str">
        <f>IFERROR(INDEX(_xlfn._xlws.FILTER(Calc!$F$2:$F$375,Calc!$B$2:$B$375=$O$19),52),"")</f>
        <v/>
      </c>
      <c r="R72" s="15" t="str">
        <f>IFERROR(INDEX(_xlfn._xlws.FILTER(Calc!$H$2:$H$375,Calc!$B$2:$B$375=$O$19),52),"")</f>
        <v/>
      </c>
      <c r="S72" s="13" t="str">
        <f>IFERROR(INDEX(_xlfn._xlws.FILTER(Calc!$G$2:$G$375,Calc!$B$2:$B$375=$O$19),52),"")</f>
        <v/>
      </c>
      <c r="Y72" t="str">
        <v>Keen Insight</v>
      </c>
    </row>
    <row r="73" spans="1:25" x14ac:dyDescent="0.25">
      <c r="A73" s="19" t="s">
        <v>132</v>
      </c>
      <c r="B73" s="4"/>
      <c r="C73" s="32"/>
      <c r="D73" s="28"/>
      <c r="E73" s="31" t="str">
        <f>IFERROR(INDEX(Calc!$H$2:$H$375,MATCH($C$73,Calc!$D$2:$D$375,0)),"")</f>
        <v/>
      </c>
      <c r="F73" s="27"/>
      <c r="G73" s="28"/>
      <c r="H73" s="32"/>
      <c r="I73" s="28"/>
      <c r="J73" s="31" t="str">
        <f>IFERROR(INDEX(Calc!$H$2:$H$375,MATCH($H$73,Calc!$D$2:$D$375,0)),"")</f>
        <v/>
      </c>
      <c r="K73" s="27"/>
      <c r="L73" s="28"/>
      <c r="N73" s="13" t="str">
        <f>IFERROR(INDEX(_xlfn._xlws.FILTER(Calc!$D$2:$D$375,Calc!$B$2:$B$375=$O$19),53),"")</f>
        <v/>
      </c>
      <c r="O73" s="14" t="str">
        <f>IFERROR(INDEX(_xlfn._xlws.FILTER(Calc!$C$2:$C$375,Calc!$B$2:$B$375=$O$19),53),"")</f>
        <v/>
      </c>
      <c r="P73" s="14" t="str">
        <f>IFERROR(INDEX(_xlfn._xlws.FILTER(Calc!$E$2:$E$375,Calc!$B$2:$B$375=$O$19),53),"")</f>
        <v/>
      </c>
      <c r="Q73" s="14" t="str">
        <f>IFERROR(INDEX(_xlfn._xlws.FILTER(Calc!$F$2:$F$375,Calc!$B$2:$B$375=$O$19),53),"")</f>
        <v/>
      </c>
      <c r="R73" s="15" t="str">
        <f>IFERROR(INDEX(_xlfn._xlws.FILTER(Calc!$H$2:$H$375,Calc!$B$2:$B$375=$O$19),53),"")</f>
        <v/>
      </c>
      <c r="S73" s="13" t="str">
        <f>IFERROR(INDEX(_xlfn._xlws.FILTER(Calc!$G$2:$G$375,Calc!$B$2:$B$375=$O$19),53),"")</f>
        <v/>
      </c>
      <c r="Y73" t="str">
        <v>Contingency</v>
      </c>
    </row>
    <row r="74" spans="1:25" x14ac:dyDescent="0.25">
      <c r="A74" s="19" t="s">
        <v>133</v>
      </c>
      <c r="B74" s="4"/>
      <c r="C74" s="32"/>
      <c r="D74" s="28"/>
      <c r="E74" s="31" t="str">
        <f>IFERROR(INDEX(Calc!$H$2:$H$375,MATCH($C$74,Calc!$D$2:$D$375,0)),"")</f>
        <v/>
      </c>
      <c r="F74" s="27"/>
      <c r="G74" s="28"/>
      <c r="H74" s="32"/>
      <c r="I74" s="28"/>
      <c r="J74" s="31" t="str">
        <f>IFERROR(INDEX(Calc!$H$2:$H$375,MATCH($H$74,Calc!$D$2:$D$375,0)),"")</f>
        <v/>
      </c>
      <c r="K74" s="27"/>
      <c r="L74" s="28"/>
      <c r="N74" s="13" t="str">
        <f>IFERROR(INDEX(_xlfn._xlws.FILTER(Calc!$D$2:$D$375,Calc!$B$2:$B$375=$O$19),54),"")</f>
        <v/>
      </c>
      <c r="O74" s="14" t="str">
        <f>IFERROR(INDEX(_xlfn._xlws.FILTER(Calc!$C$2:$C$375,Calc!$B$2:$B$375=$O$19),54),"")</f>
        <v/>
      </c>
      <c r="P74" s="14" t="str">
        <f>IFERROR(INDEX(_xlfn._xlws.FILTER(Calc!$E$2:$E$375,Calc!$B$2:$B$375=$O$19),54),"")</f>
        <v/>
      </c>
      <c r="Q74" s="14" t="str">
        <f>IFERROR(INDEX(_xlfn._xlws.FILTER(Calc!$F$2:$F$375,Calc!$B$2:$B$375=$O$19),54),"")</f>
        <v/>
      </c>
      <c r="R74" s="15" t="str">
        <f>IFERROR(INDEX(_xlfn._xlws.FILTER(Calc!$H$2:$H$375,Calc!$B$2:$B$375=$O$19),54),"")</f>
        <v/>
      </c>
      <c r="S74" s="13" t="str">
        <f>IFERROR(INDEX(_xlfn._xlws.FILTER(Calc!$G$2:$G$375,Calc!$B$2:$B$375=$O$19),54),"")</f>
        <v/>
      </c>
      <c r="Y74" t="str">
        <v>Turning Point</v>
      </c>
    </row>
    <row r="75" spans="1:25" x14ac:dyDescent="0.25">
      <c r="A75" s="19" t="s">
        <v>134</v>
      </c>
      <c r="B75" s="4"/>
      <c r="C75" s="32"/>
      <c r="D75" s="28"/>
      <c r="E75" s="31" t="str">
        <f>IFERROR(INDEX(Calc!$H$2:$H$375,MATCH($C$75,Calc!$D$2:$D$375,0)),"")</f>
        <v/>
      </c>
      <c r="F75" s="27"/>
      <c r="G75" s="28"/>
      <c r="H75" s="32"/>
      <c r="I75" s="28"/>
      <c r="J75" s="31" t="str">
        <f>IFERROR(INDEX(Calc!$H$2:$H$375,MATCH($H$75,Calc!$D$2:$D$375,0)),"")</f>
        <v/>
      </c>
      <c r="K75" s="27"/>
      <c r="L75" s="28"/>
      <c r="N75" s="13" t="str">
        <f>IFERROR(INDEX(_xlfn._xlws.FILTER(Calc!$D$2:$D$375,Calc!$B$2:$B$375=$O$19),55),"")</f>
        <v/>
      </c>
      <c r="O75" s="14" t="str">
        <f>IFERROR(INDEX(_xlfn._xlws.FILTER(Calc!$C$2:$C$375,Calc!$B$2:$B$375=$O$19),55),"")</f>
        <v/>
      </c>
      <c r="P75" s="14" t="str">
        <f>IFERROR(INDEX(_xlfn._xlws.FILTER(Calc!$E$2:$E$375,Calc!$B$2:$B$375=$O$19),55),"")</f>
        <v/>
      </c>
      <c r="Q75" s="14" t="str">
        <f>IFERROR(INDEX(_xlfn._xlws.FILTER(Calc!$F$2:$F$375,Calc!$B$2:$B$375=$O$19),55),"")</f>
        <v/>
      </c>
      <c r="R75" s="15" t="str">
        <f>IFERROR(INDEX(_xlfn._xlws.FILTER(Calc!$H$2:$H$375,Calc!$B$2:$B$375=$O$19),55),"")</f>
        <v/>
      </c>
      <c r="S75" s="13" t="str">
        <f>IFERROR(INDEX(_xlfn._xlws.FILTER(Calc!$G$2:$G$375,Calc!$B$2:$B$375=$O$19),55),"")</f>
        <v/>
      </c>
      <c r="Y75" t="str">
        <v>Field Medicine</v>
      </c>
    </row>
    <row r="76" spans="1:25" x14ac:dyDescent="0.25">
      <c r="N76" s="13" t="str">
        <f>IFERROR(INDEX(_xlfn._xlws.FILTER(Calc!$D$2:$D$375,Calc!$B$2:$B$375=$O$19),56),"")</f>
        <v/>
      </c>
      <c r="O76" s="14" t="str">
        <f>IFERROR(INDEX(_xlfn._xlws.FILTER(Calc!$C$2:$C$375,Calc!$B$2:$B$375=$O$19),56),"")</f>
        <v/>
      </c>
      <c r="P76" s="14" t="str">
        <f>IFERROR(INDEX(_xlfn._xlws.FILTER(Calc!$E$2:$E$375,Calc!$B$2:$B$375=$O$19),56),"")</f>
        <v/>
      </c>
      <c r="Q76" s="14" t="str">
        <f>IFERROR(INDEX(_xlfn._xlws.FILTER(Calc!$F$2:$F$375,Calc!$B$2:$B$375=$O$19),56),"")</f>
        <v/>
      </c>
      <c r="R76" s="15" t="str">
        <f>IFERROR(INDEX(_xlfn._xlws.FILTER(Calc!$H$2:$H$375,Calc!$B$2:$B$375=$O$19),56),"")</f>
        <v/>
      </c>
      <c r="S76" s="13" t="str">
        <f>IFERROR(INDEX(_xlfn._xlws.FILTER(Calc!$G$2:$G$375,Calc!$B$2:$B$375=$O$19),56),"")</f>
        <v/>
      </c>
      <c r="Y76" t="str">
        <v>Emotional Intelligence</v>
      </c>
    </row>
    <row r="77" spans="1:25" x14ac:dyDescent="0.25">
      <c r="A77" s="29" t="s">
        <v>135</v>
      </c>
      <c r="B77" s="30"/>
      <c r="C77" s="30"/>
      <c r="D77" s="30"/>
      <c r="E77" s="30"/>
      <c r="F77" s="30"/>
      <c r="G77" s="30"/>
      <c r="H77" s="30"/>
      <c r="I77" s="30"/>
      <c r="J77" s="30"/>
      <c r="K77" s="30"/>
      <c r="L77" s="30"/>
      <c r="N77" s="13" t="str">
        <f>IFERROR(INDEX(_xlfn._xlws.FILTER(Calc!$D$2:$D$375,Calc!$B$2:$B$375=$O$19),57),"")</f>
        <v/>
      </c>
      <c r="O77" s="14" t="str">
        <f>IFERROR(INDEX(_xlfn._xlws.FILTER(Calc!$C$2:$C$375,Calc!$B$2:$B$375=$O$19),57),"")</f>
        <v/>
      </c>
      <c r="P77" s="14" t="str">
        <f>IFERROR(INDEX(_xlfn._xlws.FILTER(Calc!$E$2:$E$375,Calc!$B$2:$B$375=$O$19),57),"")</f>
        <v/>
      </c>
      <c r="Q77" s="14" t="str">
        <f>IFERROR(INDEX(_xlfn._xlws.FILTER(Calc!$F$2:$F$375,Calc!$B$2:$B$375=$O$19),57),"")</f>
        <v/>
      </c>
      <c r="R77" s="15" t="str">
        <f>IFERROR(INDEX(_xlfn._xlws.FILTER(Calc!$H$2:$H$375,Calc!$B$2:$B$375=$O$19),57),"")</f>
        <v/>
      </c>
      <c r="S77" s="13" t="str">
        <f>IFERROR(INDEX(_xlfn._xlws.FILTER(Calc!$G$2:$G$375,Calc!$B$2:$B$375=$O$19),57),"")</f>
        <v/>
      </c>
      <c r="Y77" t="str">
        <v>Anatomical Insight</v>
      </c>
    </row>
    <row r="78" spans="1:25" x14ac:dyDescent="0.25">
      <c r="B78" s="38" t="s">
        <v>136</v>
      </c>
      <c r="C78" s="39"/>
      <c r="D78" s="39"/>
      <c r="E78" s="39"/>
      <c r="F78" s="39"/>
      <c r="G78" s="39"/>
      <c r="H78" s="39"/>
      <c r="I78" s="39"/>
      <c r="J78" s="39"/>
      <c r="K78" s="39"/>
      <c r="L78" s="39"/>
      <c r="N78" s="13" t="str">
        <f>IFERROR(INDEX(_xlfn._xlws.FILTER(Calc!$D$2:$D$375,Calc!$B$2:$B$375=$O$19),58),"")</f>
        <v/>
      </c>
      <c r="O78" s="14" t="str">
        <f>IFERROR(INDEX(_xlfn._xlws.FILTER(Calc!$C$2:$C$375,Calc!$B$2:$B$375=$O$19),58),"")</f>
        <v/>
      </c>
      <c r="P78" s="14" t="str">
        <f>IFERROR(INDEX(_xlfn._xlws.FILTER(Calc!$E$2:$E$375,Calc!$B$2:$B$375=$O$19),58),"")</f>
        <v/>
      </c>
      <c r="Q78" s="14" t="str">
        <f>IFERROR(INDEX(_xlfn._xlws.FILTER(Calc!$F$2:$F$375,Calc!$B$2:$B$375=$O$19),58),"")</f>
        <v/>
      </c>
      <c r="R78" s="15" t="str">
        <f>IFERROR(INDEX(_xlfn._xlws.FILTER(Calc!$H$2:$H$375,Calc!$B$2:$B$375=$O$19),58),"")</f>
        <v/>
      </c>
      <c r="S78" s="13" t="str">
        <f>IFERROR(INDEX(_xlfn._xlws.FILTER(Calc!$G$2:$G$375,Calc!$B$2:$B$375=$O$19),58),"")</f>
        <v/>
      </c>
      <c r="Y78" t="str">
        <v>Collected</v>
      </c>
    </row>
    <row r="79" spans="1:25" x14ac:dyDescent="0.25">
      <c r="B79" s="2" t="s">
        <v>137</v>
      </c>
      <c r="C79" s="26"/>
      <c r="D79" s="27"/>
      <c r="E79" s="28"/>
      <c r="F79" s="1" t="s">
        <v>138</v>
      </c>
      <c r="G79" s="26"/>
      <c r="H79" s="27"/>
      <c r="I79" s="27"/>
      <c r="J79" s="27"/>
      <c r="K79" s="27"/>
      <c r="L79" s="28"/>
      <c r="N79" s="13" t="str">
        <f>IFERROR(INDEX(_xlfn._xlws.FILTER(Calc!$D$2:$D$375,Calc!$B$2:$B$375=$O$19),59),"")</f>
        <v/>
      </c>
      <c r="O79" s="14" t="str">
        <f>IFERROR(INDEX(_xlfn._xlws.FILTER(Calc!$C$2:$C$375,Calc!$B$2:$B$375=$O$19),59),"")</f>
        <v/>
      </c>
      <c r="P79" s="14" t="str">
        <f>IFERROR(INDEX(_xlfn._xlws.FILTER(Calc!$E$2:$E$375,Calc!$B$2:$B$375=$O$19),59),"")</f>
        <v/>
      </c>
      <c r="Q79" s="14" t="str">
        <f>IFERROR(INDEX(_xlfn._xlws.FILTER(Calc!$F$2:$F$375,Calc!$B$2:$B$375=$O$19),59),"")</f>
        <v/>
      </c>
      <c r="R79" s="15" t="str">
        <f>IFERROR(INDEX(_xlfn._xlws.FILTER(Calc!$H$2:$H$375,Calc!$B$2:$B$375=$O$19),59),"")</f>
        <v/>
      </c>
      <c r="S79" s="13" t="str">
        <f>IFERROR(INDEX(_xlfn._xlws.FILTER(Calc!$G$2:$G$375,Calc!$B$2:$B$375=$O$19),59),"")</f>
        <v/>
      </c>
      <c r="Y79" t="str">
        <v>Swift Healer</v>
      </c>
    </row>
    <row r="80" spans="1:25" x14ac:dyDescent="0.25">
      <c r="B80" s="2" t="s">
        <v>139</v>
      </c>
      <c r="C80" s="26"/>
      <c r="D80" s="27"/>
      <c r="E80" s="28"/>
      <c r="F80" s="1" t="s">
        <v>138</v>
      </c>
      <c r="G80" s="26"/>
      <c r="H80" s="27"/>
      <c r="I80" s="27"/>
      <c r="J80" s="27"/>
      <c r="K80" s="27"/>
      <c r="L80" s="28"/>
      <c r="N80" s="13" t="str">
        <f>IFERROR(INDEX(_xlfn._xlws.FILTER(Calc!$D$2:$D$375,Calc!$B$2:$B$375=$O$19),60),"")</f>
        <v/>
      </c>
      <c r="O80" s="14" t="str">
        <f>IFERROR(INDEX(_xlfn._xlws.FILTER(Calc!$C$2:$C$375,Calc!$B$2:$B$375=$O$19),60),"")</f>
        <v/>
      </c>
      <c r="P80" s="14" t="str">
        <f>IFERROR(INDEX(_xlfn._xlws.FILTER(Calc!$E$2:$E$375,Calc!$B$2:$B$375=$O$19),60),"")</f>
        <v/>
      </c>
      <c r="Q80" s="14" t="str">
        <f>IFERROR(INDEX(_xlfn._xlws.FILTER(Calc!$F$2:$F$375,Calc!$B$2:$B$375=$O$19),60),"")</f>
        <v/>
      </c>
      <c r="R80" s="15" t="str">
        <f>IFERROR(INDEX(_xlfn._xlws.FILTER(Calc!$H$2:$H$375,Calc!$B$2:$B$375=$O$19),60),"")</f>
        <v/>
      </c>
      <c r="S80" s="13" t="str">
        <f>IFERROR(INDEX(_xlfn._xlws.FILTER(Calc!$G$2:$G$375,Calc!$B$2:$B$375=$O$19),60),"")</f>
        <v/>
      </c>
      <c r="Y80" t="str">
        <v>Applied Medicine</v>
      </c>
    </row>
    <row r="81" spans="2:25" x14ac:dyDescent="0.25">
      <c r="B81" s="2" t="s">
        <v>140</v>
      </c>
      <c r="C81" s="26"/>
      <c r="D81" s="27"/>
      <c r="E81" s="28"/>
      <c r="F81" s="1" t="s">
        <v>138</v>
      </c>
      <c r="G81" s="26"/>
      <c r="H81" s="27"/>
      <c r="I81" s="27"/>
      <c r="J81" s="27"/>
      <c r="K81" s="27"/>
      <c r="L81" s="28"/>
      <c r="Y81" t="str">
        <v>Ongoing Care</v>
      </c>
    </row>
    <row r="82" spans="2:25" x14ac:dyDescent="0.25">
      <c r="B82" s="2" t="s">
        <v>141</v>
      </c>
      <c r="C82" s="26"/>
      <c r="D82" s="27"/>
      <c r="E82" s="28"/>
      <c r="F82" s="1" t="s">
        <v>138</v>
      </c>
      <c r="G82" s="26"/>
      <c r="H82" s="27"/>
      <c r="I82" s="27"/>
      <c r="J82" s="27"/>
      <c r="K82" s="27"/>
      <c r="L82" s="28"/>
      <c r="Y82" t="str">
        <v>Resuscitation</v>
      </c>
    </row>
    <row r="83" spans="2:25" x14ac:dyDescent="0.25">
      <c r="B83" s="2" t="s">
        <v>142</v>
      </c>
      <c r="C83" s="26"/>
      <c r="D83" s="27"/>
      <c r="E83" s="28"/>
      <c r="F83" s="1" t="s">
        <v>138</v>
      </c>
      <c r="G83" s="26"/>
      <c r="H83" s="27"/>
      <c r="I83" s="27"/>
      <c r="J83" s="27"/>
      <c r="K83" s="27"/>
      <c r="L83" s="28"/>
      <c r="Y83" t="e">
        <v>#N/A</v>
      </c>
    </row>
    <row r="84" spans="2:25" x14ac:dyDescent="0.25">
      <c r="B84" s="2" t="s">
        <v>143</v>
      </c>
      <c r="C84" s="26"/>
      <c r="D84" s="27"/>
      <c r="E84" s="28"/>
      <c r="F84" s="1" t="s">
        <v>138</v>
      </c>
      <c r="G84" s="26"/>
      <c r="H84" s="27"/>
      <c r="I84" s="27"/>
      <c r="J84" s="27"/>
      <c r="K84" s="27"/>
      <c r="L84" s="28"/>
      <c r="Y84" t="e">
        <v>#N/A</v>
      </c>
    </row>
    <row r="85" spans="2:25" x14ac:dyDescent="0.25">
      <c r="Y85" t="e">
        <v>#N/A</v>
      </c>
    </row>
    <row r="86" spans="2:25" x14ac:dyDescent="0.25">
      <c r="Y86" t="e">
        <v>#N/A</v>
      </c>
    </row>
    <row r="87" spans="2:25" x14ac:dyDescent="0.25">
      <c r="Y87" t="e">
        <v>#N/A</v>
      </c>
    </row>
    <row r="88" spans="2:25" x14ac:dyDescent="0.25">
      <c r="Y88" t="e">
        <v>#N/A</v>
      </c>
    </row>
    <row r="89" spans="2:25" x14ac:dyDescent="0.25">
      <c r="Y89" t="e">
        <v>#N/A</v>
      </c>
    </row>
    <row r="90" spans="2:25" x14ac:dyDescent="0.25">
      <c r="Y90" t="e">
        <v>#N/A</v>
      </c>
    </row>
    <row r="91" spans="2:25" x14ac:dyDescent="0.25">
      <c r="Y91" t="e">
        <v>#N/A</v>
      </c>
    </row>
    <row r="92" spans="2:25" x14ac:dyDescent="0.25">
      <c r="Y92" t="e">
        <v>#N/A</v>
      </c>
    </row>
    <row r="93" spans="2:25" x14ac:dyDescent="0.25">
      <c r="Y93" t="e">
        <v>#N/A</v>
      </c>
    </row>
    <row r="94" spans="2:25" x14ac:dyDescent="0.25">
      <c r="Y94" t="e">
        <v>#N/A</v>
      </c>
    </row>
    <row r="95" spans="2:25" x14ac:dyDescent="0.25">
      <c r="Y95" t="e">
        <v>#N/A</v>
      </c>
    </row>
    <row r="96" spans="2:25" x14ac:dyDescent="0.25">
      <c r="Y96" t="e">
        <v>#N/A</v>
      </c>
    </row>
    <row r="97" spans="25:25" x14ac:dyDescent="0.25">
      <c r="Y97" t="e">
        <v>#N/A</v>
      </c>
    </row>
    <row r="98" spans="25:25" x14ac:dyDescent="0.25">
      <c r="Y98" t="e">
        <v>#N/A</v>
      </c>
    </row>
    <row r="99" spans="25:25" x14ac:dyDescent="0.25">
      <c r="Y99" t="e">
        <v>#N/A</v>
      </c>
    </row>
    <row r="100" spans="25:25" x14ac:dyDescent="0.25">
      <c r="Y100" t="e">
        <v>#N/A</v>
      </c>
    </row>
    <row r="101" spans="25:25" x14ac:dyDescent="0.25">
      <c r="Y101" t="e">
        <v>#N/A</v>
      </c>
    </row>
    <row r="102" spans="25:25" x14ac:dyDescent="0.25">
      <c r="Y102" t="e">
        <v>#N/A</v>
      </c>
    </row>
    <row r="103" spans="25:25" x14ac:dyDescent="0.25">
      <c r="Y103" t="e">
        <v>#N/A</v>
      </c>
    </row>
    <row r="104" spans="25:25" x14ac:dyDescent="0.25">
      <c r="Y104" t="e">
        <v>#N/A</v>
      </c>
    </row>
    <row r="105" spans="25:25" x14ac:dyDescent="0.25">
      <c r="Y105" t="e">
        <v>#N/A</v>
      </c>
    </row>
    <row r="106" spans="25:25" x14ac:dyDescent="0.25">
      <c r="Y106" t="e">
        <v>#N/A</v>
      </c>
    </row>
    <row r="107" spans="25:25" x14ac:dyDescent="0.25">
      <c r="Y107" t="e">
        <v>#N/A</v>
      </c>
    </row>
    <row r="108" spans="25:25" x14ac:dyDescent="0.25">
      <c r="Y108" t="e">
        <v>#N/A</v>
      </c>
    </row>
    <row r="109" spans="25:25" x14ac:dyDescent="0.25">
      <c r="Y109" t="e">
        <v>#N/A</v>
      </c>
    </row>
    <row r="110" spans="25:25" x14ac:dyDescent="0.25">
      <c r="Y110" t="e">
        <v>#N/A</v>
      </c>
    </row>
    <row r="111" spans="25:25" x14ac:dyDescent="0.25">
      <c r="Y111" t="e">
        <v>#N/A</v>
      </c>
    </row>
    <row r="112" spans="25:25" x14ac:dyDescent="0.25">
      <c r="Y112" t="e">
        <v>#N/A</v>
      </c>
    </row>
    <row r="113" spans="25:25" x14ac:dyDescent="0.25">
      <c r="Y113" t="e">
        <v>#N/A</v>
      </c>
    </row>
    <row r="114" spans="25:25" x14ac:dyDescent="0.25">
      <c r="Y114" t="e">
        <v>#N/A</v>
      </c>
    </row>
    <row r="115" spans="25:25" x14ac:dyDescent="0.25">
      <c r="Y115" t="e">
        <v>#N/A</v>
      </c>
    </row>
    <row r="116" spans="25:25" x14ac:dyDescent="0.25">
      <c r="Y116" t="e">
        <v>#N/A</v>
      </c>
    </row>
    <row r="117" spans="25:25" x14ac:dyDescent="0.25">
      <c r="Y117" t="e">
        <v>#N/A</v>
      </c>
    </row>
    <row r="118" spans="25:25" x14ac:dyDescent="0.25">
      <c r="Y118" t="e">
        <v>#N/A</v>
      </c>
    </row>
    <row r="119" spans="25:25" x14ac:dyDescent="0.25">
      <c r="Y119" t="e">
        <v>#N/A</v>
      </c>
    </row>
    <row r="120" spans="25:25" x14ac:dyDescent="0.25">
      <c r="Y120" t="e">
        <v>#N/A</v>
      </c>
    </row>
    <row r="121" spans="25:25" x14ac:dyDescent="0.25">
      <c r="Y121" t="e">
        <v>#N/A</v>
      </c>
    </row>
    <row r="122" spans="25:25" x14ac:dyDescent="0.25">
      <c r="Y122" t="e">
        <v>#N/A</v>
      </c>
    </row>
    <row r="123" spans="25:25" x14ac:dyDescent="0.25">
      <c r="Y123" t="e">
        <v>#N/A</v>
      </c>
    </row>
    <row r="124" spans="25:25" x14ac:dyDescent="0.25">
      <c r="Y124" t="e">
        <v>#N/A</v>
      </c>
    </row>
    <row r="125" spans="25:25" x14ac:dyDescent="0.25">
      <c r="Y125" t="e">
        <v>#N/A</v>
      </c>
    </row>
    <row r="126" spans="25:25" x14ac:dyDescent="0.25">
      <c r="Y126" t="e">
        <v>#N/A</v>
      </c>
    </row>
    <row r="127" spans="25:25" x14ac:dyDescent="0.25">
      <c r="Y127" t="e">
        <v>#N/A</v>
      </c>
    </row>
    <row r="128" spans="25:25" x14ac:dyDescent="0.25">
      <c r="Y128" t="e">
        <v>#N/A</v>
      </c>
    </row>
    <row r="129" spans="25:25" x14ac:dyDescent="0.25">
      <c r="Y129" t="e">
        <v>#N/A</v>
      </c>
    </row>
    <row r="130" spans="25:25" x14ac:dyDescent="0.25">
      <c r="Y130" t="e">
        <v>#N/A</v>
      </c>
    </row>
    <row r="131" spans="25:25" x14ac:dyDescent="0.25">
      <c r="Y131" t="e">
        <v>#N/A</v>
      </c>
    </row>
    <row r="132" spans="25:25" x14ac:dyDescent="0.25">
      <c r="Y132" t="e">
        <v>#N/A</v>
      </c>
    </row>
    <row r="133" spans="25:25" x14ac:dyDescent="0.25">
      <c r="Y133" t="e">
        <v>#N/A</v>
      </c>
    </row>
    <row r="134" spans="25:25" x14ac:dyDescent="0.25">
      <c r="Y134" t="e">
        <v>#N/A</v>
      </c>
    </row>
    <row r="135" spans="25:25" x14ac:dyDescent="0.25">
      <c r="Y135" t="e">
        <v>#N/A</v>
      </c>
    </row>
    <row r="136" spans="25:25" x14ac:dyDescent="0.25">
      <c r="Y136" t="e">
        <v>#N/A</v>
      </c>
    </row>
    <row r="137" spans="25:25" x14ac:dyDescent="0.25">
      <c r="Y137" t="e">
        <v>#N/A</v>
      </c>
    </row>
    <row r="138" spans="25:25" x14ac:dyDescent="0.25">
      <c r="Y138" t="e">
        <v>#N/A</v>
      </c>
    </row>
    <row r="139" spans="25:25" x14ac:dyDescent="0.25">
      <c r="Y139" t="e">
        <v>#N/A</v>
      </c>
    </row>
    <row r="140" spans="25:25" x14ac:dyDescent="0.25">
      <c r="Y140" t="e">
        <v>#N/A</v>
      </c>
    </row>
    <row r="141" spans="25:25" x14ac:dyDescent="0.25">
      <c r="Y141" t="e">
        <v>#N/A</v>
      </c>
    </row>
    <row r="142" spans="25:25" x14ac:dyDescent="0.25">
      <c r="Y142" t="e">
        <v>#N/A</v>
      </c>
    </row>
    <row r="143" spans="25:25" x14ac:dyDescent="0.25">
      <c r="Y143" t="e">
        <v>#N/A</v>
      </c>
    </row>
    <row r="144" spans="25:25" x14ac:dyDescent="0.25">
      <c r="Y144" t="e">
        <v>#N/A</v>
      </c>
    </row>
    <row r="145" spans="25:25" x14ac:dyDescent="0.25">
      <c r="Y145" t="e">
        <v>#N/A</v>
      </c>
    </row>
    <row r="146" spans="25:25" x14ac:dyDescent="0.25">
      <c r="Y146" t="e">
        <v>#N/A</v>
      </c>
    </row>
    <row r="147" spans="25:25" x14ac:dyDescent="0.25">
      <c r="Y147" t="e">
        <v>#N/A</v>
      </c>
    </row>
    <row r="148" spans="25:25" x14ac:dyDescent="0.25">
      <c r="Y148" t="e">
        <v>#N/A</v>
      </c>
    </row>
    <row r="149" spans="25:25" x14ac:dyDescent="0.25">
      <c r="Y149" t="e">
        <v>#N/A</v>
      </c>
    </row>
    <row r="150" spans="25:25" x14ac:dyDescent="0.25">
      <c r="Y150" t="e">
        <v>#N/A</v>
      </c>
    </row>
    <row r="151" spans="25:25" x14ac:dyDescent="0.25">
      <c r="Y151" t="e">
        <v>#N/A</v>
      </c>
    </row>
    <row r="152" spans="25:25" x14ac:dyDescent="0.25">
      <c r="Y152" t="e">
        <v>#N/A</v>
      </c>
    </row>
    <row r="153" spans="25:25" x14ac:dyDescent="0.25">
      <c r="Y153" t="e">
        <v>#N/A</v>
      </c>
    </row>
    <row r="154" spans="25:25" x14ac:dyDescent="0.25">
      <c r="Y154" t="e">
        <v>#N/A</v>
      </c>
    </row>
    <row r="155" spans="25:25" x14ac:dyDescent="0.25">
      <c r="Y155" t="e">
        <v>#N/A</v>
      </c>
    </row>
    <row r="156" spans="25:25" x14ac:dyDescent="0.25">
      <c r="Y156" t="e">
        <v>#N/A</v>
      </c>
    </row>
    <row r="157" spans="25:25" x14ac:dyDescent="0.25">
      <c r="Y157" t="e">
        <v>#N/A</v>
      </c>
    </row>
    <row r="158" spans="25:25" x14ac:dyDescent="0.25">
      <c r="Y158" t="e">
        <v>#N/A</v>
      </c>
    </row>
    <row r="159" spans="25:25" x14ac:dyDescent="0.25">
      <c r="Y159" t="e">
        <v>#N/A</v>
      </c>
    </row>
    <row r="160" spans="25:25" x14ac:dyDescent="0.25">
      <c r="Y160" t="e">
        <v>#N/A</v>
      </c>
    </row>
    <row r="161" spans="25:25" x14ac:dyDescent="0.25">
      <c r="Y161" t="e">
        <v>#N/A</v>
      </c>
    </row>
    <row r="162" spans="25:25" x14ac:dyDescent="0.25">
      <c r="Y162" t="e">
        <v>#N/A</v>
      </c>
    </row>
    <row r="163" spans="25:25" x14ac:dyDescent="0.25">
      <c r="Y163" t="e">
        <v>#N/A</v>
      </c>
    </row>
    <row r="164" spans="25:25" x14ac:dyDescent="0.25">
      <c r="Y164" t="e">
        <v>#N/A</v>
      </c>
    </row>
    <row r="165" spans="25:25" x14ac:dyDescent="0.25">
      <c r="Y165" t="e">
        <v>#N/A</v>
      </c>
    </row>
    <row r="166" spans="25:25" x14ac:dyDescent="0.25">
      <c r="Y166" t="e">
        <v>#N/A</v>
      </c>
    </row>
    <row r="167" spans="25:25" x14ac:dyDescent="0.25">
      <c r="Y167" t="e">
        <v>#N/A</v>
      </c>
    </row>
    <row r="168" spans="25:25" x14ac:dyDescent="0.25">
      <c r="Y168" t="e">
        <v>#N/A</v>
      </c>
    </row>
    <row r="169" spans="25:25" x14ac:dyDescent="0.25">
      <c r="Y169" t="e">
        <v>#N/A</v>
      </c>
    </row>
    <row r="170" spans="25:25" x14ac:dyDescent="0.25">
      <c r="Y170" t="e">
        <v>#N/A</v>
      </c>
    </row>
    <row r="171" spans="25:25" x14ac:dyDescent="0.25">
      <c r="Y171" t="e">
        <v>#N/A</v>
      </c>
    </row>
    <row r="172" spans="25:25" x14ac:dyDescent="0.25">
      <c r="Y172" t="e">
        <v>#N/A</v>
      </c>
    </row>
    <row r="173" spans="25:25" x14ac:dyDescent="0.25">
      <c r="Y173" t="e">
        <v>#N/A</v>
      </c>
    </row>
    <row r="174" spans="25:25" x14ac:dyDescent="0.25">
      <c r="Y174" t="e">
        <v>#N/A</v>
      </c>
    </row>
    <row r="175" spans="25:25" x14ac:dyDescent="0.25">
      <c r="Y175" t="e">
        <v>#N/A</v>
      </c>
    </row>
    <row r="176" spans="25:25" x14ac:dyDescent="0.25">
      <c r="Y176" t="e">
        <v>#N/A</v>
      </c>
    </row>
    <row r="177" spans="25:25" x14ac:dyDescent="0.25">
      <c r="Y177" t="e">
        <v>#N/A</v>
      </c>
    </row>
    <row r="178" spans="25:25" x14ac:dyDescent="0.25">
      <c r="Y178" t="e">
        <v>#N/A</v>
      </c>
    </row>
    <row r="179" spans="25:25" x14ac:dyDescent="0.25">
      <c r="Y179" t="e">
        <v>#N/A</v>
      </c>
    </row>
    <row r="180" spans="25:25" x14ac:dyDescent="0.25">
      <c r="Y180" t="e">
        <v>#N/A</v>
      </c>
    </row>
    <row r="181" spans="25:25" x14ac:dyDescent="0.25">
      <c r="Y181" t="e">
        <v>#N/A</v>
      </c>
    </row>
    <row r="182" spans="25:25" x14ac:dyDescent="0.25">
      <c r="Y182" t="e">
        <v>#N/A</v>
      </c>
    </row>
    <row r="183" spans="25:25" x14ac:dyDescent="0.25">
      <c r="Y183" t="e">
        <v>#N/A</v>
      </c>
    </row>
    <row r="184" spans="25:25" x14ac:dyDescent="0.25">
      <c r="Y184" t="e">
        <v>#N/A</v>
      </c>
    </row>
    <row r="185" spans="25:25" x14ac:dyDescent="0.25">
      <c r="Y185" t="e">
        <v>#N/A</v>
      </c>
    </row>
    <row r="186" spans="25:25" x14ac:dyDescent="0.25">
      <c r="Y186" t="e">
        <v>#N/A</v>
      </c>
    </row>
    <row r="187" spans="25:25" x14ac:dyDescent="0.25">
      <c r="Y187" t="e">
        <v>#N/A</v>
      </c>
    </row>
    <row r="188" spans="25:25" x14ac:dyDescent="0.25">
      <c r="Y188" t="e">
        <v>#N/A</v>
      </c>
    </row>
    <row r="189" spans="25:25" x14ac:dyDescent="0.25">
      <c r="Y189" t="e">
        <v>#N/A</v>
      </c>
    </row>
    <row r="190" spans="25:25" x14ac:dyDescent="0.25">
      <c r="Y190" t="e">
        <v>#N/A</v>
      </c>
    </row>
    <row r="191" spans="25:25" x14ac:dyDescent="0.25">
      <c r="Y191" t="e">
        <v>#N/A</v>
      </c>
    </row>
    <row r="192" spans="25:25" x14ac:dyDescent="0.25">
      <c r="Y192" t="e">
        <v>#N/A</v>
      </c>
    </row>
    <row r="193" spans="25:25" x14ac:dyDescent="0.25">
      <c r="Y193" t="e">
        <v>#N/A</v>
      </c>
    </row>
    <row r="194" spans="25:25" x14ac:dyDescent="0.25">
      <c r="Y194" t="e">
        <v>#N/A</v>
      </c>
    </row>
    <row r="195" spans="25:25" x14ac:dyDescent="0.25">
      <c r="Y195" t="e">
        <v>#N/A</v>
      </c>
    </row>
    <row r="196" spans="25:25" x14ac:dyDescent="0.25">
      <c r="Y196" t="e">
        <v>#N/A</v>
      </c>
    </row>
    <row r="197" spans="25:25" x14ac:dyDescent="0.25">
      <c r="Y197" t="e">
        <v>#N/A</v>
      </c>
    </row>
    <row r="198" spans="25:25" x14ac:dyDescent="0.25">
      <c r="Y198" t="e">
        <v>#N/A</v>
      </c>
    </row>
    <row r="199" spans="25:25" x14ac:dyDescent="0.25">
      <c r="Y199" t="e">
        <v>#N/A</v>
      </c>
    </row>
    <row r="200" spans="25:25" x14ac:dyDescent="0.25">
      <c r="Y200" t="e">
        <v>#N/A</v>
      </c>
    </row>
    <row r="201" spans="25:25" x14ac:dyDescent="0.25">
      <c r="Y201" t="e">
        <v>#N/A</v>
      </c>
    </row>
  </sheetData>
  <mergeCells count="152">
    <mergeCell ref="N2:R2"/>
    <mergeCell ref="E57:G57"/>
    <mergeCell ref="O6:R6"/>
    <mergeCell ref="C56:D56"/>
    <mergeCell ref="A52:L52"/>
    <mergeCell ref="G46:L46"/>
    <mergeCell ref="H72:I72"/>
    <mergeCell ref="J61:L61"/>
    <mergeCell ref="E58:G58"/>
    <mergeCell ref="A41:D41"/>
    <mergeCell ref="H65:I65"/>
    <mergeCell ref="J72:L72"/>
    <mergeCell ref="C42:E42"/>
    <mergeCell ref="A27:D27"/>
    <mergeCell ref="C67:D67"/>
    <mergeCell ref="H62:I62"/>
    <mergeCell ref="H71:I71"/>
    <mergeCell ref="E27:H27"/>
    <mergeCell ref="E43:L43"/>
    <mergeCell ref="H53:I53"/>
    <mergeCell ref="C44:E44"/>
    <mergeCell ref="C62:D62"/>
    <mergeCell ref="H55:I55"/>
    <mergeCell ref="C64:D64"/>
    <mergeCell ref="N4:R4"/>
    <mergeCell ref="E60:G60"/>
    <mergeCell ref="O8:R8"/>
    <mergeCell ref="H54:I54"/>
    <mergeCell ref="C84:E84"/>
    <mergeCell ref="C5:D5"/>
    <mergeCell ref="J65:L65"/>
    <mergeCell ref="H63:I63"/>
    <mergeCell ref="E69:G69"/>
    <mergeCell ref="J70:L70"/>
    <mergeCell ref="O11:R11"/>
    <mergeCell ref="E59:G59"/>
    <mergeCell ref="B18:L18"/>
    <mergeCell ref="C46:E46"/>
    <mergeCell ref="H74:I74"/>
    <mergeCell ref="H56:I56"/>
    <mergeCell ref="J63:L63"/>
    <mergeCell ref="H68:I68"/>
    <mergeCell ref="E61:G61"/>
    <mergeCell ref="A14:L14"/>
    <mergeCell ref="C48:E48"/>
    <mergeCell ref="E70:G70"/>
    <mergeCell ref="N18:R18"/>
    <mergeCell ref="A4:L4"/>
    <mergeCell ref="G84:L84"/>
    <mergeCell ref="C71:D71"/>
    <mergeCell ref="E49:L49"/>
    <mergeCell ref="E56:G56"/>
    <mergeCell ref="H75:I75"/>
    <mergeCell ref="E45:L45"/>
    <mergeCell ref="J67:L67"/>
    <mergeCell ref="E71:G71"/>
    <mergeCell ref="C79:E79"/>
    <mergeCell ref="C57:D57"/>
    <mergeCell ref="J60:L60"/>
    <mergeCell ref="G48:L48"/>
    <mergeCell ref="C66:D66"/>
    <mergeCell ref="J69:L69"/>
    <mergeCell ref="E73:G73"/>
    <mergeCell ref="C53:D53"/>
    <mergeCell ref="J53:L53"/>
    <mergeCell ref="E63:G63"/>
    <mergeCell ref="C50:E50"/>
    <mergeCell ref="C68:D68"/>
    <mergeCell ref="C58:D58"/>
    <mergeCell ref="E65:G65"/>
    <mergeCell ref="J55:L55"/>
    <mergeCell ref="E74:G74"/>
    <mergeCell ref="O5:P5"/>
    <mergeCell ref="C65:D65"/>
    <mergeCell ref="H60:I60"/>
    <mergeCell ref="C75:D75"/>
    <mergeCell ref="A49:D49"/>
    <mergeCell ref="J56:L56"/>
    <mergeCell ref="C59:D59"/>
    <mergeCell ref="A20:L20"/>
    <mergeCell ref="A45:D45"/>
    <mergeCell ref="C74:D74"/>
    <mergeCell ref="A26:L26"/>
    <mergeCell ref="C54:D54"/>
    <mergeCell ref="C63:D63"/>
    <mergeCell ref="J66:L66"/>
    <mergeCell ref="O7:R7"/>
    <mergeCell ref="J75:L75"/>
    <mergeCell ref="J74:L74"/>
    <mergeCell ref="C73:D73"/>
    <mergeCell ref="C69:D69"/>
    <mergeCell ref="E47:L47"/>
    <mergeCell ref="E54:G54"/>
    <mergeCell ref="H69:I69"/>
    <mergeCell ref="E72:G72"/>
    <mergeCell ref="C60:D60"/>
    <mergeCell ref="N1:R1"/>
    <mergeCell ref="O9:R9"/>
    <mergeCell ref="J71:L71"/>
    <mergeCell ref="J58:L58"/>
    <mergeCell ref="H57:I57"/>
    <mergeCell ref="C61:D61"/>
    <mergeCell ref="H66:I66"/>
    <mergeCell ref="C70:D70"/>
    <mergeCell ref="J73:L73"/>
    <mergeCell ref="E62:G62"/>
    <mergeCell ref="J57:L57"/>
    <mergeCell ref="J59:L59"/>
    <mergeCell ref="E64:G64"/>
    <mergeCell ref="J68:L68"/>
    <mergeCell ref="H67:I67"/>
    <mergeCell ref="O12:R14"/>
    <mergeCell ref="A43:D43"/>
    <mergeCell ref="H59:I59"/>
    <mergeCell ref="H64:I64"/>
    <mergeCell ref="C55:D55"/>
    <mergeCell ref="A1:L1"/>
    <mergeCell ref="A2:L2"/>
    <mergeCell ref="J54:L54"/>
    <mergeCell ref="H73:I73"/>
    <mergeCell ref="O10:R10"/>
    <mergeCell ref="H61:I61"/>
    <mergeCell ref="C82:E82"/>
    <mergeCell ref="H70:I70"/>
    <mergeCell ref="I27:L27"/>
    <mergeCell ref="J62:L62"/>
    <mergeCell ref="E66:G66"/>
    <mergeCell ref="G50:L50"/>
    <mergeCell ref="E75:G75"/>
    <mergeCell ref="E53:G53"/>
    <mergeCell ref="C80:E80"/>
    <mergeCell ref="B78:L78"/>
    <mergeCell ref="G81:L81"/>
    <mergeCell ref="A77:L77"/>
    <mergeCell ref="G82:L82"/>
    <mergeCell ref="C81:E81"/>
    <mergeCell ref="G44:L44"/>
    <mergeCell ref="H58:I58"/>
    <mergeCell ref="G80:L80"/>
    <mergeCell ref="C83:E83"/>
    <mergeCell ref="A39:L39"/>
    <mergeCell ref="J64:L64"/>
    <mergeCell ref="E68:G68"/>
    <mergeCell ref="E55:G55"/>
    <mergeCell ref="E67:G67"/>
    <mergeCell ref="C72:D72"/>
    <mergeCell ref="A11:L11"/>
    <mergeCell ref="G42:L42"/>
    <mergeCell ref="E41:L41"/>
    <mergeCell ref="A47:D47"/>
    <mergeCell ref="G79:L79"/>
    <mergeCell ref="G83:L83"/>
  </mergeCells>
  <dataValidations count="11">
    <dataValidation type="whole" sqref="G5" xr:uid="{00000000-0002-0000-0000-000000000000}">
      <formula1>1</formula1>
      <formula2>20</formula2>
    </dataValidation>
    <dataValidation type="list" sqref="C6" xr:uid="{00000000-0002-0000-0000-000001000000}">
      <formula1>"Agent,Envoy,Hunter,Leader,Scholar,Warrior"</formula1>
    </dataValidation>
    <dataValidation type="list" sqref="C7" xr:uid="{00000000-0002-0000-0000-000002000000}">
      <formula1>"Black,Blue,Green,Red,White"</formula1>
    </dataValidation>
    <dataValidation type="list" sqref="C8" xr:uid="{00000000-0002-0000-0000-000003000000}">
      <formula1>"(None),Black,Blue,Green,Red,White"</formula1>
    </dataValidation>
    <dataValidation type="list" sqref="C9" xr:uid="{00000000-0002-0000-0000-000004000000}">
      <formula1>"(None),Chaos,Civilization,Death,Destruction,Fate,Knowledge,Life,Order,Power,Sovereignty"</formula1>
    </dataValidation>
    <dataValidation type="whole" sqref="B16 L16 J16 H16 F16 D16" xr:uid="{00000000-0002-0000-0000-000005000000}">
      <formula1>0</formula1>
      <formula2>7</formula2>
    </dataValidation>
    <dataValidation type="list" allowBlank="1" sqref="O19" xr:uid="{00000000-0002-0000-0000-00000B000000}">
      <formula1>"Agent,Envoy,Hunter,Leader,Scholar,Warrior,Black,Blue,Green,Red,White,Chaos,Civilization,Death,Destruction,Fate,Knowledge,Life,Order,Power,Sovereignty"</formula1>
    </dataValidation>
    <dataValidation type="list" allowBlank="1" sqref="C46" xr:uid="{00000000-0002-0000-0000-00000C000000}">
      <formula1>$U$2:$U$51</formula1>
    </dataValidation>
    <dataValidation type="list" allowBlank="1" sqref="C50" xr:uid="{00000000-0002-0000-0000-00000D000000}">
      <formula1>$V$2:$V$51</formula1>
    </dataValidation>
    <dataValidation type="list" allowBlank="1" sqref="B54 B55 B56 B57 B58 B59 B60 B61 B62 B63 B64 B65 B66 B67 B68 B69 B70 B71 B72 B73 B74 B75" xr:uid="{00000000-0002-0000-0000-00000E000000}">
      <formula1>$Z$2:$Z$30</formula1>
    </dataValidation>
    <dataValidation type="list" allowBlank="1" sqref="C54:C75 H54:H75" xr:uid="{00000000-0002-0000-0000-00000F000000}">
      <formula1>$Y$2:$Y$201</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C3E6B"/>
  </sheetPr>
  <dimension ref="A1:H58"/>
  <sheetViews>
    <sheetView workbookViewId="0">
      <selection activeCell="L25" sqref="L25"/>
    </sheetView>
  </sheetViews>
  <sheetFormatPr defaultRowHeight="15" x14ac:dyDescent="0.25"/>
  <cols>
    <col min="1" max="1" width="8" customWidth="1"/>
    <col min="2" max="2" width="16" customWidth="1"/>
    <col min="3" max="4" width="14" customWidth="1"/>
    <col min="5" max="5" width="16" customWidth="1"/>
    <col min="6" max="6" width="6" customWidth="1"/>
    <col min="7" max="7" width="16" customWidth="1"/>
    <col min="8" max="8" width="14" customWidth="1"/>
  </cols>
  <sheetData>
    <row r="1" spans="1:8" x14ac:dyDescent="0.25">
      <c r="A1" s="60" t="s">
        <v>144</v>
      </c>
      <c r="B1" s="61"/>
      <c r="C1" s="61"/>
      <c r="D1" s="61"/>
      <c r="E1" s="61"/>
      <c r="F1" s="61"/>
      <c r="G1" s="61"/>
      <c r="H1" s="61"/>
    </row>
    <row r="3" spans="1:8" x14ac:dyDescent="0.25">
      <c r="A3" s="29" t="s">
        <v>145</v>
      </c>
      <c r="B3" s="30"/>
      <c r="C3" s="30"/>
      <c r="D3" s="30"/>
      <c r="E3" s="30"/>
      <c r="F3" s="30"/>
      <c r="G3" s="30"/>
      <c r="H3" s="30"/>
    </row>
    <row r="4" spans="1:8" ht="25.5" x14ac:dyDescent="0.25">
      <c r="A4" s="7" t="s">
        <v>13</v>
      </c>
      <c r="B4" s="7" t="s">
        <v>32</v>
      </c>
      <c r="C4" s="7" t="s">
        <v>146</v>
      </c>
      <c r="D4" s="7" t="s">
        <v>147</v>
      </c>
      <c r="E4" s="7" t="s">
        <v>35</v>
      </c>
      <c r="F4" s="7" t="s">
        <v>148</v>
      </c>
      <c r="G4" s="7" t="s">
        <v>149</v>
      </c>
      <c r="H4" s="7" t="s">
        <v>150</v>
      </c>
    </row>
    <row r="5" spans="1:8" x14ac:dyDescent="0.25">
      <c r="A5" s="21">
        <v>1</v>
      </c>
      <c r="B5" s="21">
        <v>1</v>
      </c>
      <c r="C5" s="21">
        <v>2</v>
      </c>
      <c r="D5" s="21">
        <v>12</v>
      </c>
      <c r="E5" s="21">
        <v>5</v>
      </c>
      <c r="F5" s="21">
        <v>5</v>
      </c>
      <c r="G5" s="21" t="s">
        <v>151</v>
      </c>
      <c r="H5" s="21">
        <v>10</v>
      </c>
    </row>
    <row r="6" spans="1:8" x14ac:dyDescent="0.25">
      <c r="A6" s="21">
        <v>2</v>
      </c>
      <c r="B6" s="21">
        <v>1</v>
      </c>
      <c r="C6" s="21">
        <v>2</v>
      </c>
      <c r="D6" s="21">
        <v>12</v>
      </c>
      <c r="E6" s="21">
        <v>7</v>
      </c>
      <c r="F6" s="21">
        <v>6</v>
      </c>
      <c r="G6" s="21" t="s">
        <v>152</v>
      </c>
      <c r="H6" s="21">
        <v>15</v>
      </c>
    </row>
    <row r="7" spans="1:8" x14ac:dyDescent="0.25">
      <c r="A7" s="21">
        <v>3</v>
      </c>
      <c r="B7" s="21">
        <v>1</v>
      </c>
      <c r="C7" s="21">
        <v>2</v>
      </c>
      <c r="D7" s="21">
        <v>13</v>
      </c>
      <c r="E7" s="21">
        <v>9</v>
      </c>
      <c r="F7" s="21">
        <v>7</v>
      </c>
      <c r="G7" s="21" t="s">
        <v>152</v>
      </c>
      <c r="H7" s="21">
        <v>20</v>
      </c>
    </row>
    <row r="8" spans="1:8" x14ac:dyDescent="0.25">
      <c r="A8" s="21">
        <v>4</v>
      </c>
      <c r="B8" s="21">
        <v>1</v>
      </c>
      <c r="C8" s="21">
        <v>2</v>
      </c>
      <c r="D8" s="21">
        <v>13</v>
      </c>
      <c r="E8" s="21">
        <v>11</v>
      </c>
      <c r="F8" s="21">
        <v>8</v>
      </c>
      <c r="G8" s="21" t="s">
        <v>152</v>
      </c>
      <c r="H8" s="21">
        <v>25</v>
      </c>
    </row>
    <row r="9" spans="1:8" x14ac:dyDescent="0.25">
      <c r="A9" s="21">
        <v>5</v>
      </c>
      <c r="B9" s="21">
        <v>1</v>
      </c>
      <c r="C9" s="21">
        <v>2</v>
      </c>
      <c r="D9" s="21">
        <v>13</v>
      </c>
      <c r="E9" s="21">
        <v>13</v>
      </c>
      <c r="F9" s="21">
        <v>9</v>
      </c>
      <c r="G9" s="21" t="s">
        <v>152</v>
      </c>
      <c r="H9" s="21">
        <v>30</v>
      </c>
    </row>
    <row r="10" spans="1:8" x14ac:dyDescent="0.25">
      <c r="A10" s="22">
        <v>6</v>
      </c>
      <c r="B10" s="22">
        <v>2</v>
      </c>
      <c r="C10" s="22">
        <v>3</v>
      </c>
      <c r="D10" s="22">
        <v>14</v>
      </c>
      <c r="E10" s="22">
        <v>15</v>
      </c>
      <c r="F10" s="22">
        <v>11</v>
      </c>
      <c r="G10" s="22" t="s">
        <v>153</v>
      </c>
      <c r="H10" s="22">
        <v>34</v>
      </c>
    </row>
    <row r="11" spans="1:8" x14ac:dyDescent="0.25">
      <c r="A11" s="21">
        <v>7</v>
      </c>
      <c r="B11" s="21">
        <v>2</v>
      </c>
      <c r="C11" s="21">
        <v>3</v>
      </c>
      <c r="D11" s="21">
        <v>14</v>
      </c>
      <c r="E11" s="21">
        <v>17</v>
      </c>
      <c r="F11" s="21">
        <v>12</v>
      </c>
      <c r="G11" s="21" t="s">
        <v>152</v>
      </c>
      <c r="H11" s="21">
        <v>39</v>
      </c>
    </row>
    <row r="12" spans="1:8" x14ac:dyDescent="0.25">
      <c r="A12" s="21">
        <v>8</v>
      </c>
      <c r="B12" s="21">
        <v>2</v>
      </c>
      <c r="C12" s="21">
        <v>3</v>
      </c>
      <c r="D12" s="21">
        <v>14</v>
      </c>
      <c r="E12" s="21">
        <v>19</v>
      </c>
      <c r="F12" s="21">
        <v>13</v>
      </c>
      <c r="G12" s="21" t="s">
        <v>152</v>
      </c>
      <c r="H12" s="21">
        <v>44</v>
      </c>
    </row>
    <row r="13" spans="1:8" x14ac:dyDescent="0.25">
      <c r="A13" s="21">
        <v>9</v>
      </c>
      <c r="B13" s="21">
        <v>2</v>
      </c>
      <c r="C13" s="21">
        <v>3</v>
      </c>
      <c r="D13" s="21">
        <v>15</v>
      </c>
      <c r="E13" s="21">
        <v>21</v>
      </c>
      <c r="F13" s="21">
        <v>14</v>
      </c>
      <c r="G13" s="21" t="s">
        <v>152</v>
      </c>
      <c r="H13" s="21">
        <v>49</v>
      </c>
    </row>
    <row r="14" spans="1:8" x14ac:dyDescent="0.25">
      <c r="A14" s="21">
        <v>10</v>
      </c>
      <c r="B14" s="21">
        <v>2</v>
      </c>
      <c r="C14" s="21">
        <v>3</v>
      </c>
      <c r="D14" s="21">
        <v>15</v>
      </c>
      <c r="E14" s="21">
        <v>23</v>
      </c>
      <c r="F14" s="21">
        <v>15</v>
      </c>
      <c r="G14" s="21" t="s">
        <v>152</v>
      </c>
      <c r="H14" s="21">
        <v>54</v>
      </c>
    </row>
    <row r="15" spans="1:8" x14ac:dyDescent="0.25">
      <c r="A15" s="22">
        <v>11</v>
      </c>
      <c r="B15" s="22">
        <v>3</v>
      </c>
      <c r="C15" s="22">
        <v>4</v>
      </c>
      <c r="D15" s="22">
        <v>15</v>
      </c>
      <c r="E15" s="22">
        <v>25</v>
      </c>
      <c r="F15" s="22">
        <v>17</v>
      </c>
      <c r="G15" s="22" t="s">
        <v>154</v>
      </c>
      <c r="H15" s="22">
        <v>57</v>
      </c>
    </row>
    <row r="16" spans="1:8" x14ac:dyDescent="0.25">
      <c r="A16" s="21">
        <v>12</v>
      </c>
      <c r="B16" s="21">
        <v>3</v>
      </c>
      <c r="C16" s="21">
        <v>4</v>
      </c>
      <c r="D16" s="21">
        <v>16</v>
      </c>
      <c r="E16" s="21">
        <v>27</v>
      </c>
      <c r="F16" s="21">
        <v>18</v>
      </c>
      <c r="G16" s="21" t="s">
        <v>152</v>
      </c>
      <c r="H16" s="21">
        <v>62</v>
      </c>
    </row>
    <row r="17" spans="1:8" x14ac:dyDescent="0.25">
      <c r="A17" s="21">
        <v>13</v>
      </c>
      <c r="B17" s="21">
        <v>3</v>
      </c>
      <c r="C17" s="21">
        <v>4</v>
      </c>
      <c r="D17" s="21">
        <v>16</v>
      </c>
      <c r="E17" s="21">
        <v>29</v>
      </c>
      <c r="F17" s="21">
        <v>19</v>
      </c>
      <c r="G17" s="21" t="s">
        <v>152</v>
      </c>
      <c r="H17" s="21">
        <v>67</v>
      </c>
    </row>
    <row r="18" spans="1:8" x14ac:dyDescent="0.25">
      <c r="A18" s="21">
        <v>14</v>
      </c>
      <c r="B18" s="21">
        <v>3</v>
      </c>
      <c r="C18" s="21">
        <v>4</v>
      </c>
      <c r="D18" s="21">
        <v>16</v>
      </c>
      <c r="E18" s="21">
        <v>31</v>
      </c>
      <c r="F18" s="21">
        <v>20</v>
      </c>
      <c r="G18" s="21" t="s">
        <v>152</v>
      </c>
      <c r="H18" s="21">
        <v>72</v>
      </c>
    </row>
    <row r="19" spans="1:8" x14ac:dyDescent="0.25">
      <c r="A19" s="21">
        <v>15</v>
      </c>
      <c r="B19" s="21">
        <v>3</v>
      </c>
      <c r="C19" s="21">
        <v>4</v>
      </c>
      <c r="D19" s="21">
        <v>17</v>
      </c>
      <c r="E19" s="21">
        <v>33</v>
      </c>
      <c r="F19" s="21">
        <v>21</v>
      </c>
      <c r="G19" s="21" t="s">
        <v>152</v>
      </c>
      <c r="H19" s="21">
        <v>77</v>
      </c>
    </row>
    <row r="20" spans="1:8" x14ac:dyDescent="0.25">
      <c r="A20" s="22">
        <v>16</v>
      </c>
      <c r="B20" s="22">
        <v>4</v>
      </c>
      <c r="C20" s="22">
        <v>5</v>
      </c>
      <c r="D20" s="22">
        <v>17</v>
      </c>
      <c r="E20" s="22">
        <v>35</v>
      </c>
      <c r="F20" s="22">
        <v>23</v>
      </c>
      <c r="G20" s="22" t="s">
        <v>155</v>
      </c>
      <c r="H20" s="22">
        <v>79</v>
      </c>
    </row>
    <row r="21" spans="1:8" x14ac:dyDescent="0.25">
      <c r="A21" s="21">
        <v>17</v>
      </c>
      <c r="B21" s="21">
        <v>4</v>
      </c>
      <c r="C21" s="21">
        <v>5</v>
      </c>
      <c r="D21" s="21">
        <v>17</v>
      </c>
      <c r="E21" s="21">
        <v>37</v>
      </c>
      <c r="F21" s="21">
        <v>24</v>
      </c>
      <c r="G21" s="21" t="s">
        <v>152</v>
      </c>
      <c r="H21" s="21">
        <v>84</v>
      </c>
    </row>
    <row r="22" spans="1:8" x14ac:dyDescent="0.25">
      <c r="A22" s="21">
        <v>18</v>
      </c>
      <c r="B22" s="21">
        <v>4</v>
      </c>
      <c r="C22" s="21">
        <v>5</v>
      </c>
      <c r="D22" s="21">
        <v>18</v>
      </c>
      <c r="E22" s="21">
        <v>39</v>
      </c>
      <c r="F22" s="21">
        <v>25</v>
      </c>
      <c r="G22" s="21" t="s">
        <v>152</v>
      </c>
      <c r="H22" s="21">
        <v>89</v>
      </c>
    </row>
    <row r="23" spans="1:8" x14ac:dyDescent="0.25">
      <c r="A23" s="21">
        <v>19</v>
      </c>
      <c r="B23" s="21">
        <v>4</v>
      </c>
      <c r="C23" s="21">
        <v>5</v>
      </c>
      <c r="D23" s="21">
        <v>18</v>
      </c>
      <c r="E23" s="21">
        <v>41</v>
      </c>
      <c r="F23" s="21">
        <v>26</v>
      </c>
      <c r="G23" s="21" t="s">
        <v>152</v>
      </c>
      <c r="H23" s="21">
        <v>94</v>
      </c>
    </row>
    <row r="24" spans="1:8" x14ac:dyDescent="0.25">
      <c r="A24" s="21">
        <v>20</v>
      </c>
      <c r="B24" s="21">
        <v>4</v>
      </c>
      <c r="C24" s="21">
        <v>5</v>
      </c>
      <c r="D24" s="21">
        <v>18</v>
      </c>
      <c r="E24" s="21">
        <v>43</v>
      </c>
      <c r="F24" s="21">
        <v>27</v>
      </c>
      <c r="G24" s="21" t="s">
        <v>152</v>
      </c>
      <c r="H24" s="21">
        <v>99</v>
      </c>
    </row>
    <row r="27" spans="1:8" x14ac:dyDescent="0.25">
      <c r="A27" s="29" t="s">
        <v>156</v>
      </c>
      <c r="B27" s="30"/>
      <c r="C27" s="30"/>
      <c r="E27" s="29" t="s">
        <v>157</v>
      </c>
      <c r="F27" s="30"/>
    </row>
    <row r="28" spans="1:8" x14ac:dyDescent="0.25">
      <c r="A28" s="7" t="s">
        <v>73</v>
      </c>
      <c r="B28" s="7" t="s">
        <v>158</v>
      </c>
      <c r="C28" s="7" t="s">
        <v>159</v>
      </c>
      <c r="E28" s="23" t="s">
        <v>160</v>
      </c>
      <c r="F28" s="7" t="s">
        <v>161</v>
      </c>
    </row>
    <row r="29" spans="1:8" x14ac:dyDescent="0.25">
      <c r="A29" s="16" t="s">
        <v>162</v>
      </c>
      <c r="B29" s="21" t="s">
        <v>163</v>
      </c>
      <c r="C29" s="21">
        <v>1</v>
      </c>
      <c r="E29" s="16" t="s">
        <v>164</v>
      </c>
      <c r="F29" s="21">
        <v>6</v>
      </c>
    </row>
    <row r="30" spans="1:8" x14ac:dyDescent="0.25">
      <c r="A30" s="16" t="s">
        <v>165</v>
      </c>
      <c r="B30" s="21" t="s">
        <v>166</v>
      </c>
      <c r="C30" s="21">
        <v>2</v>
      </c>
      <c r="E30" s="16" t="s">
        <v>167</v>
      </c>
      <c r="F30" s="21">
        <v>3</v>
      </c>
    </row>
    <row r="31" spans="1:8" x14ac:dyDescent="0.25">
      <c r="A31" s="16" t="s">
        <v>168</v>
      </c>
      <c r="B31" s="21" t="s">
        <v>166</v>
      </c>
      <c r="C31" s="21">
        <v>3</v>
      </c>
      <c r="E31" s="16" t="s">
        <v>169</v>
      </c>
      <c r="F31" s="21">
        <v>6</v>
      </c>
    </row>
    <row r="32" spans="1:8" x14ac:dyDescent="0.25">
      <c r="A32" s="16" t="s">
        <v>170</v>
      </c>
      <c r="B32" s="21" t="s">
        <v>163</v>
      </c>
      <c r="C32" s="21">
        <v>4</v>
      </c>
      <c r="E32" s="16" t="s">
        <v>171</v>
      </c>
      <c r="F32" s="21">
        <v>4</v>
      </c>
    </row>
    <row r="33" spans="1:6" x14ac:dyDescent="0.25">
      <c r="A33" s="16" t="s">
        <v>172</v>
      </c>
      <c r="B33" s="21" t="s">
        <v>163</v>
      </c>
      <c r="C33" s="21">
        <v>5</v>
      </c>
      <c r="E33" s="16" t="s">
        <v>173</v>
      </c>
      <c r="F33" s="21">
        <v>6</v>
      </c>
    </row>
    <row r="34" spans="1:6" x14ac:dyDescent="0.25">
      <c r="A34" s="16" t="s">
        <v>174</v>
      </c>
      <c r="B34" s="21" t="s">
        <v>163</v>
      </c>
      <c r="C34" s="21">
        <v>6</v>
      </c>
      <c r="E34" s="16" t="s">
        <v>175</v>
      </c>
      <c r="F34" s="21">
        <v>1</v>
      </c>
    </row>
    <row r="35" spans="1:6" x14ac:dyDescent="0.25">
      <c r="A35" s="16" t="s">
        <v>176</v>
      </c>
      <c r="B35" s="21" t="s">
        <v>177</v>
      </c>
      <c r="C35" s="21">
        <v>7</v>
      </c>
      <c r="E35" s="16" t="s">
        <v>178</v>
      </c>
      <c r="F35" s="21">
        <v>4</v>
      </c>
    </row>
    <row r="36" spans="1:6" x14ac:dyDescent="0.25">
      <c r="A36" s="16" t="s">
        <v>179</v>
      </c>
      <c r="B36" s="21" t="s">
        <v>177</v>
      </c>
      <c r="C36" s="21">
        <v>8</v>
      </c>
      <c r="E36" s="16" t="s">
        <v>180</v>
      </c>
      <c r="F36" s="21">
        <v>5</v>
      </c>
    </row>
    <row r="37" spans="1:6" x14ac:dyDescent="0.25">
      <c r="A37" s="16" t="s">
        <v>181</v>
      </c>
      <c r="B37" s="21" t="s">
        <v>182</v>
      </c>
      <c r="C37" s="21">
        <v>9</v>
      </c>
      <c r="E37" s="16" t="s">
        <v>183</v>
      </c>
      <c r="F37" s="21">
        <v>5</v>
      </c>
    </row>
    <row r="38" spans="1:6" x14ac:dyDescent="0.25">
      <c r="A38" s="16" t="s">
        <v>184</v>
      </c>
      <c r="B38" s="21" t="s">
        <v>182</v>
      </c>
      <c r="C38" s="21">
        <v>10</v>
      </c>
      <c r="E38" s="16" t="s">
        <v>185</v>
      </c>
      <c r="F38" s="21">
        <v>5</v>
      </c>
    </row>
    <row r="39" spans="1:6" x14ac:dyDescent="0.25">
      <c r="A39" s="16" t="s">
        <v>186</v>
      </c>
      <c r="B39" s="21" t="s">
        <v>177</v>
      </c>
      <c r="C39" s="21">
        <v>11</v>
      </c>
      <c r="E39" s="16" t="s">
        <v>187</v>
      </c>
      <c r="F39" s="21">
        <v>4</v>
      </c>
    </row>
    <row r="40" spans="1:6" x14ac:dyDescent="0.25">
      <c r="A40" s="16" t="s">
        <v>188</v>
      </c>
      <c r="B40" s="21" t="s">
        <v>177</v>
      </c>
      <c r="C40" s="21">
        <v>12</v>
      </c>
      <c r="E40" s="16" t="s">
        <v>189</v>
      </c>
      <c r="F40" s="21">
        <v>1</v>
      </c>
    </row>
    <row r="41" spans="1:6" x14ac:dyDescent="0.25">
      <c r="A41" s="16" t="s">
        <v>190</v>
      </c>
      <c r="B41" s="21" t="s">
        <v>191</v>
      </c>
      <c r="C41" s="21">
        <v>13</v>
      </c>
      <c r="E41" s="16" t="s">
        <v>192</v>
      </c>
      <c r="F41" s="21">
        <v>1</v>
      </c>
    </row>
    <row r="42" spans="1:6" x14ac:dyDescent="0.25">
      <c r="A42" s="16" t="s">
        <v>193</v>
      </c>
      <c r="B42" s="21" t="s">
        <v>194</v>
      </c>
      <c r="C42" s="21">
        <v>14</v>
      </c>
      <c r="E42" s="16" t="s">
        <v>195</v>
      </c>
      <c r="F42" s="21">
        <v>6</v>
      </c>
    </row>
    <row r="43" spans="1:6" x14ac:dyDescent="0.25">
      <c r="A43" s="16" t="s">
        <v>196</v>
      </c>
      <c r="B43" s="21" t="s">
        <v>191</v>
      </c>
      <c r="C43" s="21">
        <v>15</v>
      </c>
      <c r="E43" s="16" t="s">
        <v>197</v>
      </c>
      <c r="F43" s="21">
        <v>4</v>
      </c>
    </row>
    <row r="44" spans="1:6" x14ac:dyDescent="0.25">
      <c r="A44" s="16" t="s">
        <v>198</v>
      </c>
      <c r="B44" s="21" t="s">
        <v>194</v>
      </c>
      <c r="C44" s="21">
        <v>16</v>
      </c>
    </row>
    <row r="45" spans="1:6" x14ac:dyDescent="0.25">
      <c r="A45" s="16" t="s">
        <v>199</v>
      </c>
      <c r="B45" s="21" t="s">
        <v>191</v>
      </c>
      <c r="C45" s="21">
        <v>17</v>
      </c>
    </row>
    <row r="46" spans="1:6" x14ac:dyDescent="0.25">
      <c r="A46" s="16" t="s">
        <v>200</v>
      </c>
      <c r="B46" s="21" t="s">
        <v>194</v>
      </c>
      <c r="C46" s="21">
        <v>18</v>
      </c>
    </row>
    <row r="50" spans="1:5" x14ac:dyDescent="0.25">
      <c r="A50" s="29" t="s">
        <v>201</v>
      </c>
      <c r="B50" s="30"/>
      <c r="D50" s="29" t="s">
        <v>202</v>
      </c>
      <c r="E50" s="30"/>
    </row>
    <row r="51" spans="1:5" x14ac:dyDescent="0.25">
      <c r="A51" s="16">
        <v>0</v>
      </c>
      <c r="B51" s="16" t="s">
        <v>203</v>
      </c>
      <c r="D51" s="16">
        <v>0</v>
      </c>
      <c r="E51" s="16" t="s">
        <v>204</v>
      </c>
    </row>
    <row r="52" spans="1:5" x14ac:dyDescent="0.25">
      <c r="A52" s="16">
        <v>1</v>
      </c>
      <c r="B52" s="16" t="s">
        <v>203</v>
      </c>
      <c r="D52" s="16">
        <v>1</v>
      </c>
      <c r="E52" s="16" t="s">
        <v>205</v>
      </c>
    </row>
    <row r="53" spans="1:5" x14ac:dyDescent="0.25">
      <c r="A53" s="16">
        <v>2</v>
      </c>
      <c r="B53" s="16" t="s">
        <v>206</v>
      </c>
      <c r="D53" s="16">
        <v>2</v>
      </c>
      <c r="E53" s="16" t="s">
        <v>207</v>
      </c>
    </row>
    <row r="54" spans="1:5" x14ac:dyDescent="0.25">
      <c r="A54" s="16">
        <v>3</v>
      </c>
      <c r="B54" s="16" t="s">
        <v>206</v>
      </c>
      <c r="D54" s="16">
        <v>3</v>
      </c>
      <c r="E54" s="16" t="s">
        <v>207</v>
      </c>
    </row>
    <row r="55" spans="1:5" x14ac:dyDescent="0.25">
      <c r="A55" s="16">
        <v>4</v>
      </c>
      <c r="B55" s="16" t="s">
        <v>208</v>
      </c>
      <c r="D55" s="16">
        <v>4</v>
      </c>
      <c r="E55" s="16" t="s">
        <v>209</v>
      </c>
    </row>
    <row r="56" spans="1:5" x14ac:dyDescent="0.25">
      <c r="A56" s="16">
        <v>5</v>
      </c>
      <c r="B56" s="16" t="s">
        <v>208</v>
      </c>
      <c r="D56" s="16">
        <v>5</v>
      </c>
      <c r="E56" s="16" t="s">
        <v>210</v>
      </c>
    </row>
    <row r="57" spans="1:5" x14ac:dyDescent="0.25">
      <c r="A57" s="16">
        <v>6</v>
      </c>
      <c r="B57" s="16" t="s">
        <v>211</v>
      </c>
      <c r="D57" s="16">
        <v>6</v>
      </c>
      <c r="E57" s="16" t="s">
        <v>210</v>
      </c>
    </row>
    <row r="58" spans="1:5" x14ac:dyDescent="0.25">
      <c r="A58" s="16">
        <v>7</v>
      </c>
      <c r="B58" s="16" t="s">
        <v>211</v>
      </c>
    </row>
  </sheetData>
  <mergeCells count="6">
    <mergeCell ref="A3:H3"/>
    <mergeCell ref="E27:F27"/>
    <mergeCell ref="A27:C27"/>
    <mergeCell ref="A1:H1"/>
    <mergeCell ref="D50:E50"/>
    <mergeCell ref="A50:B5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999999"/>
  </sheetPr>
  <dimension ref="A1:N375"/>
  <sheetViews>
    <sheetView workbookViewId="0">
      <selection activeCell="H45" sqref="H45"/>
    </sheetView>
  </sheetViews>
  <sheetFormatPr defaultRowHeight="15" x14ac:dyDescent="0.25"/>
  <cols>
    <col min="1" max="1" width="10" customWidth="1"/>
    <col min="2" max="3" width="14" customWidth="1"/>
    <col min="4" max="4" width="24" customWidth="1"/>
    <col min="5" max="6" width="8" customWidth="1"/>
    <col min="7" max="7" width="30" customWidth="1"/>
    <col min="8" max="8" width="60" style="25" customWidth="1"/>
    <col min="9" max="9" width="6" customWidth="1"/>
    <col min="11" max="11" width="20" customWidth="1"/>
    <col min="12" max="12" width="8" customWidth="1"/>
    <col min="14" max="14" width="24" customWidth="1"/>
    <col min="16" max="20" width="26" customWidth="1"/>
    <col min="23" max="23" width="16" customWidth="1"/>
  </cols>
  <sheetData>
    <row r="1" spans="1:14" x14ac:dyDescent="0.25">
      <c r="A1" s="2" t="s">
        <v>212</v>
      </c>
      <c r="B1" s="2" t="s">
        <v>160</v>
      </c>
      <c r="C1" s="2" t="s">
        <v>54</v>
      </c>
      <c r="D1" s="2" t="s">
        <v>12</v>
      </c>
      <c r="E1" s="2" t="s">
        <v>55</v>
      </c>
      <c r="F1" s="2" t="s">
        <v>56</v>
      </c>
      <c r="G1" s="2" t="s">
        <v>213</v>
      </c>
      <c r="H1" s="24" t="s">
        <v>57</v>
      </c>
      <c r="I1" s="2" t="s">
        <v>214</v>
      </c>
      <c r="K1" s="2" t="s">
        <v>215</v>
      </c>
      <c r="L1" s="2" t="s">
        <v>74</v>
      </c>
      <c r="N1" s="2" t="s">
        <v>216</v>
      </c>
    </row>
    <row r="2" spans="1:14" ht="30" hidden="1" x14ac:dyDescent="0.25">
      <c r="A2" t="s">
        <v>217</v>
      </c>
      <c r="B2" t="s">
        <v>197</v>
      </c>
      <c r="C2" t="s">
        <v>218</v>
      </c>
      <c r="D2" t="s">
        <v>219</v>
      </c>
      <c r="E2" t="s">
        <v>220</v>
      </c>
      <c r="H2" s="25" t="s">
        <v>221</v>
      </c>
      <c r="I2" t="b">
        <f>TRUE</f>
        <v>1</v>
      </c>
      <c r="K2" t="s">
        <v>162</v>
      </c>
      <c r="L2">
        <f>'Character Builder'!B29</f>
        <v>0</v>
      </c>
      <c r="N2" t="str">
        <f>'Character Builder'!$C$42</f>
        <v>Scent the Weak</v>
      </c>
    </row>
    <row r="3" spans="1:14" ht="30" hidden="1" x14ac:dyDescent="0.25">
      <c r="A3" t="s">
        <v>217</v>
      </c>
      <c r="B3" t="s">
        <v>197</v>
      </c>
      <c r="C3" t="s">
        <v>222</v>
      </c>
      <c r="D3" t="s">
        <v>223</v>
      </c>
      <c r="E3" t="s">
        <v>224</v>
      </c>
      <c r="H3" s="25" t="s">
        <v>225</v>
      </c>
      <c r="I3" t="b">
        <f>TRUE</f>
        <v>1</v>
      </c>
      <c r="K3" t="s">
        <v>165</v>
      </c>
      <c r="L3">
        <f>'Character Builder'!B30</f>
        <v>0</v>
      </c>
      <c r="N3" t="str">
        <f>'Character Builder'!$C$44</f>
        <v>Erudition</v>
      </c>
    </row>
    <row r="4" spans="1:14" ht="30" hidden="1" x14ac:dyDescent="0.25">
      <c r="A4" t="s">
        <v>217</v>
      </c>
      <c r="B4" t="s">
        <v>197</v>
      </c>
      <c r="C4" t="s">
        <v>222</v>
      </c>
      <c r="D4" t="s">
        <v>226</v>
      </c>
      <c r="E4" t="s">
        <v>224</v>
      </c>
      <c r="G4" t="s">
        <v>223</v>
      </c>
      <c r="H4" s="25" t="s">
        <v>227</v>
      </c>
      <c r="I4" t="b">
        <f>COUNTIF($N$2:$N$50,"Concordant Presence")&gt;0</f>
        <v>0</v>
      </c>
      <c r="K4" t="s">
        <v>168</v>
      </c>
      <c r="L4">
        <f>'Character Builder'!B31</f>
        <v>0</v>
      </c>
      <c r="N4" t="str">
        <f>'Character Builder'!$C$46</f>
        <v>Strategize</v>
      </c>
    </row>
    <row r="5" spans="1:14" ht="30" hidden="1" x14ac:dyDescent="0.25">
      <c r="A5" t="s">
        <v>217</v>
      </c>
      <c r="B5" t="s">
        <v>197</v>
      </c>
      <c r="C5" t="s">
        <v>222</v>
      </c>
      <c r="D5" t="s">
        <v>228</v>
      </c>
      <c r="E5" t="s">
        <v>220</v>
      </c>
      <c r="G5" t="s">
        <v>223</v>
      </c>
      <c r="H5" s="25" t="s">
        <v>229</v>
      </c>
      <c r="I5" t="b">
        <f>COUNTIF($N$2:$N$50,"Concordant Presence")&gt;0</f>
        <v>0</v>
      </c>
      <c r="K5" t="s">
        <v>170</v>
      </c>
      <c r="L5">
        <f>'Character Builder'!B32</f>
        <v>2</v>
      </c>
      <c r="N5" t="str">
        <f>'Character Builder'!$C$48</f>
        <v>Green Leyline Attunement</v>
      </c>
    </row>
    <row r="6" spans="1:14" ht="30" hidden="1" x14ac:dyDescent="0.25">
      <c r="A6" t="s">
        <v>217</v>
      </c>
      <c r="B6" t="s">
        <v>197</v>
      </c>
      <c r="C6" t="s">
        <v>222</v>
      </c>
      <c r="D6" t="s">
        <v>230</v>
      </c>
      <c r="E6" t="s">
        <v>224</v>
      </c>
      <c r="F6" t="s">
        <v>231</v>
      </c>
      <c r="G6" t="s">
        <v>232</v>
      </c>
      <c r="H6" s="25" t="s">
        <v>233</v>
      </c>
      <c r="I6" t="b">
        <f>AND(IFERROR(INDEX($L$2:$L$22,MATCH("White",$K$2:$K$22,0)),0)&gt;=2,OR(COUNTIF($N$2:$N$50,"Ordered Preparation")&gt;0,COUNTIF($N$2:$N$50,"Unity of Purpose")&gt;0))</f>
        <v>0</v>
      </c>
      <c r="K6" t="s">
        <v>172</v>
      </c>
      <c r="L6">
        <f>'Character Builder'!B33</f>
        <v>0</v>
      </c>
      <c r="N6" t="str">
        <f>'Character Builder'!$C$50</f>
        <v>Predator's Instinct</v>
      </c>
    </row>
    <row r="7" spans="1:14" ht="30" hidden="1" x14ac:dyDescent="0.25">
      <c r="A7" t="s">
        <v>217</v>
      </c>
      <c r="B7" t="s">
        <v>197</v>
      </c>
      <c r="C7" t="s">
        <v>222</v>
      </c>
      <c r="D7" t="s">
        <v>234</v>
      </c>
      <c r="E7" t="s">
        <v>235</v>
      </c>
      <c r="F7" t="s">
        <v>236</v>
      </c>
      <c r="G7" t="s">
        <v>230</v>
      </c>
      <c r="H7" s="25" t="s">
        <v>237</v>
      </c>
      <c r="I7" t="b">
        <f>COUNTIF($N$2:$N$50,"Beacon of Stability")&gt;0</f>
        <v>0</v>
      </c>
      <c r="K7" t="s">
        <v>174</v>
      </c>
      <c r="L7">
        <f>'Character Builder'!B34</f>
        <v>0</v>
      </c>
      <c r="N7" t="str">
        <f>'Character Builder'!$C$54</f>
        <v>Incite</v>
      </c>
    </row>
    <row r="8" spans="1:14" ht="30" hidden="1" x14ac:dyDescent="0.25">
      <c r="A8" t="s">
        <v>217</v>
      </c>
      <c r="B8" t="s">
        <v>197</v>
      </c>
      <c r="C8" t="s">
        <v>222</v>
      </c>
      <c r="D8" t="s">
        <v>238</v>
      </c>
      <c r="E8" t="s">
        <v>224</v>
      </c>
      <c r="G8" t="s">
        <v>230</v>
      </c>
      <c r="H8" s="25" t="s">
        <v>239</v>
      </c>
      <c r="I8" t="b">
        <f>COUNTIF($N$2:$N$50,"Beacon of Stability")&gt;0</f>
        <v>0</v>
      </c>
      <c r="K8" t="s">
        <v>176</v>
      </c>
      <c r="L8">
        <f>'Character Builder'!F29</f>
        <v>0</v>
      </c>
      <c r="N8" t="str">
        <f>'Character Builder'!$C$55</f>
        <v>Burning Drive</v>
      </c>
    </row>
    <row r="9" spans="1:14" ht="30" hidden="1" x14ac:dyDescent="0.25">
      <c r="A9" t="s">
        <v>217</v>
      </c>
      <c r="B9" t="s">
        <v>197</v>
      </c>
      <c r="C9" t="s">
        <v>222</v>
      </c>
      <c r="D9" t="s">
        <v>240</v>
      </c>
      <c r="E9" t="s">
        <v>224</v>
      </c>
      <c r="F9" t="s">
        <v>231</v>
      </c>
      <c r="G9" t="s">
        <v>241</v>
      </c>
      <c r="H9" s="25" t="s">
        <v>242</v>
      </c>
      <c r="I9" t="b">
        <f>AND(IFERROR(INDEX($L$2:$L$22,MATCH("White",$K$2:$K$22,0)),0)&gt;=2,OR(COUNTIF($N$2:$N$50,"Ordered Advance")&gt;0,COUNTIF($N$2:$N$50,"Shared Conviction")&gt;0))</f>
        <v>0</v>
      </c>
      <c r="K9" t="s">
        <v>179</v>
      </c>
      <c r="L9">
        <f>'Character Builder'!F30</f>
        <v>3</v>
      </c>
      <c r="N9" t="str">
        <f>'Character Builder'!$C$56</f>
        <v>Mind and Body</v>
      </c>
    </row>
    <row r="10" spans="1:14" ht="30" hidden="1" x14ac:dyDescent="0.25">
      <c r="A10" t="s">
        <v>217</v>
      </c>
      <c r="B10" t="s">
        <v>197</v>
      </c>
      <c r="C10" t="s">
        <v>222</v>
      </c>
      <c r="D10" t="s">
        <v>243</v>
      </c>
      <c r="E10" t="s">
        <v>235</v>
      </c>
      <c r="G10" t="s">
        <v>244</v>
      </c>
      <c r="H10" s="25" t="s">
        <v>245</v>
      </c>
      <c r="I10" t="b">
        <f>AND(COUNTIF($N$2:$N$50,"Mending Aura")&gt;0,IFERROR(INDEX($L$2:$L$22,MATCH("White",$K$2:$K$22,0)),0)&gt;=3)</f>
        <v>0</v>
      </c>
      <c r="K10" t="s">
        <v>181</v>
      </c>
      <c r="L10">
        <f>'Character Builder'!F31</f>
        <v>0</v>
      </c>
      <c r="N10" t="str">
        <f>'Character Builder'!$C$57</f>
        <v>Know Your Moment</v>
      </c>
    </row>
    <row r="11" spans="1:14" hidden="1" x14ac:dyDescent="0.25">
      <c r="A11" t="s">
        <v>217</v>
      </c>
      <c r="B11" t="s">
        <v>197</v>
      </c>
      <c r="C11" t="s">
        <v>246</v>
      </c>
      <c r="D11" t="s">
        <v>247</v>
      </c>
      <c r="E11" t="s">
        <v>220</v>
      </c>
      <c r="H11" s="25" t="s">
        <v>248</v>
      </c>
      <c r="I11" t="b">
        <f>TRUE</f>
        <v>1</v>
      </c>
      <c r="K11" t="s">
        <v>184</v>
      </c>
      <c r="L11">
        <f>'Character Builder'!F32</f>
        <v>0</v>
      </c>
      <c r="N11">
        <f>'Character Builder'!$C$58</f>
        <v>0</v>
      </c>
    </row>
    <row r="12" spans="1:14" ht="30" hidden="1" x14ac:dyDescent="0.25">
      <c r="A12" t="s">
        <v>217</v>
      </c>
      <c r="B12" t="s">
        <v>197</v>
      </c>
      <c r="C12" t="s">
        <v>246</v>
      </c>
      <c r="D12" t="s">
        <v>249</v>
      </c>
      <c r="E12" t="s">
        <v>235</v>
      </c>
      <c r="F12" t="s">
        <v>250</v>
      </c>
      <c r="G12" t="s">
        <v>247</v>
      </c>
      <c r="H12" s="25" t="s">
        <v>251</v>
      </c>
      <c r="I12" t="b">
        <f>COUNTIF($N$2:$N$50,"Guardian Stance")&gt;0</f>
        <v>0</v>
      </c>
      <c r="K12" t="s">
        <v>186</v>
      </c>
      <c r="L12">
        <f>'Character Builder'!F33</f>
        <v>3</v>
      </c>
      <c r="N12">
        <f>'Character Builder'!$C$59</f>
        <v>0</v>
      </c>
    </row>
    <row r="13" spans="1:14" ht="30" hidden="1" x14ac:dyDescent="0.25">
      <c r="A13" t="s">
        <v>217</v>
      </c>
      <c r="B13" t="s">
        <v>197</v>
      </c>
      <c r="C13" t="s">
        <v>246</v>
      </c>
      <c r="D13" t="s">
        <v>252</v>
      </c>
      <c r="E13" t="s">
        <v>253</v>
      </c>
      <c r="F13" t="s">
        <v>250</v>
      </c>
      <c r="G13" t="s">
        <v>247</v>
      </c>
      <c r="H13" s="25" t="s">
        <v>254</v>
      </c>
      <c r="I13" t="b">
        <f>COUNTIF($N$2:$N$50,"Guardian Stance")&gt;0</f>
        <v>0</v>
      </c>
      <c r="K13" t="s">
        <v>188</v>
      </c>
      <c r="L13">
        <f>'Character Builder'!F34</f>
        <v>0</v>
      </c>
      <c r="N13">
        <f>'Character Builder'!$C$60</f>
        <v>0</v>
      </c>
    </row>
    <row r="14" spans="1:14" ht="30" hidden="1" x14ac:dyDescent="0.25">
      <c r="A14" t="s">
        <v>217</v>
      </c>
      <c r="B14" t="s">
        <v>197</v>
      </c>
      <c r="C14" t="s">
        <v>246</v>
      </c>
      <c r="D14" t="s">
        <v>255</v>
      </c>
      <c r="E14" t="s">
        <v>224</v>
      </c>
      <c r="G14" t="s">
        <v>256</v>
      </c>
      <c r="H14" s="25" t="s">
        <v>257</v>
      </c>
      <c r="I14" t="b">
        <f>OR(COUNTIF($N$2:$N$50,"Interposing Shield")&gt;0,COUNTIF($N$2:$N$50,"Stabilizing Touch")&gt;0)</f>
        <v>0</v>
      </c>
      <c r="K14" t="s">
        <v>190</v>
      </c>
      <c r="L14">
        <f>'Character Builder'!J29</f>
        <v>0</v>
      </c>
      <c r="N14">
        <f>'Character Builder'!$C$61</f>
        <v>0</v>
      </c>
    </row>
    <row r="15" spans="1:14" ht="30" hidden="1" x14ac:dyDescent="0.25">
      <c r="A15" t="s">
        <v>217</v>
      </c>
      <c r="B15" t="s">
        <v>197</v>
      </c>
      <c r="C15" t="s">
        <v>246</v>
      </c>
      <c r="D15" t="s">
        <v>258</v>
      </c>
      <c r="E15" t="s">
        <v>220</v>
      </c>
      <c r="G15" t="s">
        <v>255</v>
      </c>
      <c r="H15" s="25" t="s">
        <v>259</v>
      </c>
      <c r="I15" t="b">
        <f>COUNTIF($N$2:$N$50,"Shared Burden")&gt;0</f>
        <v>0</v>
      </c>
      <c r="K15" t="s">
        <v>193</v>
      </c>
      <c r="L15">
        <f>'Character Builder'!J30</f>
        <v>3</v>
      </c>
      <c r="N15">
        <f>'Character Builder'!$C$62</f>
        <v>0</v>
      </c>
    </row>
    <row r="16" spans="1:14" ht="30" hidden="1" x14ac:dyDescent="0.25">
      <c r="A16" t="s">
        <v>217</v>
      </c>
      <c r="B16" t="s">
        <v>197</v>
      </c>
      <c r="C16" t="s">
        <v>246</v>
      </c>
      <c r="D16" t="s">
        <v>260</v>
      </c>
      <c r="E16" t="s">
        <v>220</v>
      </c>
      <c r="G16" t="s">
        <v>255</v>
      </c>
      <c r="H16" s="25" t="s">
        <v>261</v>
      </c>
      <c r="I16" t="b">
        <f>COUNTIF($N$2:$N$50,"Shared Burden")&gt;0</f>
        <v>0</v>
      </c>
      <c r="K16" t="s">
        <v>196</v>
      </c>
      <c r="L16">
        <f>'Character Builder'!J31</f>
        <v>0</v>
      </c>
      <c r="N16">
        <f>'Character Builder'!$C$63</f>
        <v>0</v>
      </c>
    </row>
    <row r="17" spans="1:14" ht="30" hidden="1" x14ac:dyDescent="0.25">
      <c r="A17" t="s">
        <v>217</v>
      </c>
      <c r="B17" t="s">
        <v>197</v>
      </c>
      <c r="C17" t="s">
        <v>246</v>
      </c>
      <c r="D17" t="s">
        <v>262</v>
      </c>
      <c r="E17" t="s">
        <v>220</v>
      </c>
      <c r="G17" t="s">
        <v>263</v>
      </c>
      <c r="H17" s="25" t="s">
        <v>264</v>
      </c>
      <c r="I17" t="b">
        <f>AND(IFERROR(INDEX($L$2:$L$22,MATCH("White",$K$2:$K$22,0)),0)&gt;=2,OR(COUNTIF($N$2:$N$50,"Shield Wall")&gt;0,COUNTIF($N$2:$N$50,"Devoted Conduit")&gt;0))</f>
        <v>0</v>
      </c>
      <c r="K17" t="s">
        <v>198</v>
      </c>
      <c r="L17">
        <f>'Character Builder'!J32</f>
        <v>0</v>
      </c>
      <c r="N17">
        <f>'Character Builder'!$C$64</f>
        <v>0</v>
      </c>
    </row>
    <row r="18" spans="1:14" hidden="1" x14ac:dyDescent="0.25">
      <c r="A18" t="s">
        <v>217</v>
      </c>
      <c r="B18" t="s">
        <v>197</v>
      </c>
      <c r="C18" t="s">
        <v>246</v>
      </c>
      <c r="D18" t="s">
        <v>265</v>
      </c>
      <c r="E18" t="s">
        <v>220</v>
      </c>
      <c r="G18" t="s">
        <v>266</v>
      </c>
      <c r="H18" s="25" t="s">
        <v>267</v>
      </c>
      <c r="I18" t="b">
        <f>AND(COUNTIF($N$2:$N$50,"Unbreakable Line")&gt;0,IFERROR(INDEX($L$2:$L$22,MATCH("White",$K$2:$K$22,0)),0)&gt;=3)</f>
        <v>0</v>
      </c>
      <c r="K18" t="s">
        <v>199</v>
      </c>
      <c r="L18">
        <f>'Character Builder'!J33</f>
        <v>0</v>
      </c>
      <c r="N18">
        <f>'Character Builder'!$C$65</f>
        <v>0</v>
      </c>
    </row>
    <row r="19" spans="1:14" ht="45" hidden="1" x14ac:dyDescent="0.25">
      <c r="A19" t="s">
        <v>217</v>
      </c>
      <c r="B19" t="s">
        <v>197</v>
      </c>
      <c r="C19" t="s">
        <v>268</v>
      </c>
      <c r="D19" t="s">
        <v>269</v>
      </c>
      <c r="E19" t="s">
        <v>220</v>
      </c>
      <c r="H19" s="25" t="s">
        <v>270</v>
      </c>
      <c r="I19" t="b">
        <f>TRUE</f>
        <v>1</v>
      </c>
      <c r="K19" t="s">
        <v>200</v>
      </c>
      <c r="L19">
        <f>'Character Builder'!J34</f>
        <v>1</v>
      </c>
      <c r="N19">
        <f>'Character Builder'!$C$66</f>
        <v>0</v>
      </c>
    </row>
    <row r="20" spans="1:14" ht="30" hidden="1" x14ac:dyDescent="0.25">
      <c r="A20" t="s">
        <v>217</v>
      </c>
      <c r="B20" t="s">
        <v>197</v>
      </c>
      <c r="C20" t="s">
        <v>268</v>
      </c>
      <c r="D20" t="s">
        <v>271</v>
      </c>
      <c r="E20" t="s">
        <v>220</v>
      </c>
      <c r="G20" t="s">
        <v>269</v>
      </c>
      <c r="H20" s="25" t="s">
        <v>272</v>
      </c>
      <c r="I20" t="b">
        <f>COUNTIF($N$2:$N$50,"Terms of Accord")&gt;0</f>
        <v>0</v>
      </c>
      <c r="K20" t="str">
        <f>IF(OR($C$7="",$C$7="(None)"),"",$C$7)</f>
        <v>Coordination</v>
      </c>
      <c r="L20">
        <f>'Character Builder'!B35</f>
        <v>2</v>
      </c>
      <c r="N20">
        <f>'Character Builder'!$C$67</f>
        <v>0</v>
      </c>
    </row>
    <row r="21" spans="1:14" ht="30" hidden="1" x14ac:dyDescent="0.25">
      <c r="A21" t="s">
        <v>217</v>
      </c>
      <c r="B21" t="s">
        <v>197</v>
      </c>
      <c r="C21" t="s">
        <v>268</v>
      </c>
      <c r="D21" t="s">
        <v>273</v>
      </c>
      <c r="E21" t="s">
        <v>220</v>
      </c>
      <c r="G21" t="s">
        <v>269</v>
      </c>
      <c r="H21" s="25" t="s">
        <v>274</v>
      </c>
      <c r="I21" t="b">
        <f>COUNTIF($N$2:$N$50,"Terms of Accord")&gt;0</f>
        <v>0</v>
      </c>
      <c r="K21" t="str">
        <f>IF(OR($C$8="",$C$8="(None)"),"",$C$8)</f>
        <v>Coordination</v>
      </c>
      <c r="L21">
        <f>'Character Builder'!F35</f>
        <v>2</v>
      </c>
      <c r="N21">
        <f>'Character Builder'!$C$68</f>
        <v>0</v>
      </c>
    </row>
    <row r="22" spans="1:14" ht="30" hidden="1" x14ac:dyDescent="0.25">
      <c r="A22" t="s">
        <v>217</v>
      </c>
      <c r="B22" t="s">
        <v>197</v>
      </c>
      <c r="C22" t="s">
        <v>268</v>
      </c>
      <c r="D22" t="s">
        <v>275</v>
      </c>
      <c r="E22" t="s">
        <v>224</v>
      </c>
      <c r="G22" t="s">
        <v>276</v>
      </c>
      <c r="H22" s="25" t="s">
        <v>277</v>
      </c>
      <c r="I22" t="b">
        <f>AND(IFERROR(INDEX($L$2:$L$22,MATCH("White",$K$2:$K$22,0)),0)&gt;=2,OR(COUNTIF($N$2:$N$50,"Calming Presence")&gt;0,COUNTIF($N$2:$N$50,"Disciplined Mind")&gt;0))</f>
        <v>0</v>
      </c>
      <c r="K22" t="str">
        <f>IF(OR($C$9="",$C$9="(None)"),"",$C$9)</f>
        <v>Coordination</v>
      </c>
      <c r="L22">
        <f>'Character Builder'!J35</f>
        <v>1</v>
      </c>
      <c r="N22">
        <f>'Character Builder'!$C$69</f>
        <v>0</v>
      </c>
    </row>
    <row r="23" spans="1:14" ht="30" hidden="1" x14ac:dyDescent="0.25">
      <c r="A23" t="s">
        <v>217</v>
      </c>
      <c r="B23" t="s">
        <v>197</v>
      </c>
      <c r="C23" t="s">
        <v>268</v>
      </c>
      <c r="D23" t="s">
        <v>278</v>
      </c>
      <c r="E23" t="s">
        <v>220</v>
      </c>
      <c r="G23" t="s">
        <v>275</v>
      </c>
      <c r="H23" s="25" t="s">
        <v>279</v>
      </c>
      <c r="I23" t="b">
        <f>COUNTIF($N$2:$N$50,"Commanding Presence")&gt;0</f>
        <v>0</v>
      </c>
      <c r="N23">
        <f>'Character Builder'!$C$70</f>
        <v>0</v>
      </c>
    </row>
    <row r="24" spans="1:14" ht="30" hidden="1" x14ac:dyDescent="0.25">
      <c r="A24" t="s">
        <v>217</v>
      </c>
      <c r="B24" t="s">
        <v>197</v>
      </c>
      <c r="C24" t="s">
        <v>268</v>
      </c>
      <c r="D24" t="s">
        <v>280</v>
      </c>
      <c r="E24" t="s">
        <v>224</v>
      </c>
      <c r="F24" t="s">
        <v>231</v>
      </c>
      <c r="G24" t="s">
        <v>278</v>
      </c>
      <c r="H24" s="25" t="s">
        <v>281</v>
      </c>
      <c r="I24" t="b">
        <f>COUNTIF($N$2:$N$50,"Shared Discipline")&gt;0</f>
        <v>0</v>
      </c>
      <c r="N24">
        <f>'Character Builder'!$C$71</f>
        <v>0</v>
      </c>
    </row>
    <row r="25" spans="1:14" ht="30" hidden="1" x14ac:dyDescent="0.25">
      <c r="A25" t="s">
        <v>217</v>
      </c>
      <c r="B25" t="s">
        <v>197</v>
      </c>
      <c r="C25" t="s">
        <v>268</v>
      </c>
      <c r="D25" t="s">
        <v>282</v>
      </c>
      <c r="E25" t="s">
        <v>220</v>
      </c>
      <c r="G25" t="s">
        <v>278</v>
      </c>
      <c r="H25" s="25" t="s">
        <v>283</v>
      </c>
      <c r="I25" t="b">
        <f>COUNTIF($N$2:$N$50,"Shared Discipline")&gt;0</f>
        <v>0</v>
      </c>
      <c r="N25">
        <f>'Character Builder'!$C$72</f>
        <v>0</v>
      </c>
    </row>
    <row r="26" spans="1:14" ht="30" hidden="1" x14ac:dyDescent="0.25">
      <c r="A26" t="s">
        <v>217</v>
      </c>
      <c r="B26" t="s">
        <v>197</v>
      </c>
      <c r="C26" t="s">
        <v>268</v>
      </c>
      <c r="D26" t="s">
        <v>284</v>
      </c>
      <c r="E26" t="s">
        <v>235</v>
      </c>
      <c r="G26" t="s">
        <v>285</v>
      </c>
      <c r="H26" s="25" t="s">
        <v>286</v>
      </c>
      <c r="I26" t="b">
        <f>AND(IFERROR(INDEX($L$2:$L$22,MATCH("White",$K$2:$K$22,0)),0)&gt;=3,OR(COUNTIF($N$2:$N$50,"Collective Resolve")&gt;0,COUNTIF($N$2:$N$50,"Unyielding Accord")&gt;0))</f>
        <v>0</v>
      </c>
      <c r="N26">
        <f>'Character Builder'!$C$73</f>
        <v>0</v>
      </c>
    </row>
    <row r="27" spans="1:14" ht="30" hidden="1" x14ac:dyDescent="0.25">
      <c r="A27" t="s">
        <v>217</v>
      </c>
      <c r="B27" t="s">
        <v>167</v>
      </c>
      <c r="C27" t="s">
        <v>218</v>
      </c>
      <c r="D27" t="s">
        <v>287</v>
      </c>
      <c r="E27" t="s">
        <v>220</v>
      </c>
      <c r="H27" s="25" t="s">
        <v>288</v>
      </c>
      <c r="I27" t="b">
        <f>TRUE</f>
        <v>1</v>
      </c>
      <c r="N27">
        <f>'Character Builder'!$C$74</f>
        <v>0</v>
      </c>
    </row>
    <row r="28" spans="1:14" ht="30" hidden="1" x14ac:dyDescent="0.25">
      <c r="A28" t="s">
        <v>217</v>
      </c>
      <c r="B28" t="s">
        <v>167</v>
      </c>
      <c r="C28" t="s">
        <v>289</v>
      </c>
      <c r="D28" t="s">
        <v>290</v>
      </c>
      <c r="E28" t="s">
        <v>220</v>
      </c>
      <c r="H28" s="25" t="s">
        <v>291</v>
      </c>
      <c r="I28" t="b">
        <f>TRUE</f>
        <v>1</v>
      </c>
      <c r="N28">
        <f>'Character Builder'!$C$75</f>
        <v>0</v>
      </c>
    </row>
    <row r="29" spans="1:14" ht="30" hidden="1" x14ac:dyDescent="0.25">
      <c r="A29" t="s">
        <v>217</v>
      </c>
      <c r="B29" t="s">
        <v>167</v>
      </c>
      <c r="C29" t="s">
        <v>289</v>
      </c>
      <c r="D29" t="s">
        <v>292</v>
      </c>
      <c r="E29" t="s">
        <v>224</v>
      </c>
      <c r="G29" t="s">
        <v>290</v>
      </c>
      <c r="H29" s="25" t="s">
        <v>293</v>
      </c>
      <c r="I29" t="b">
        <f>COUNTIF($N$2:$N$50,"Predictive Awareness")&gt;0</f>
        <v>0</v>
      </c>
      <c r="N29">
        <f>'Character Builder'!$H$54</f>
        <v>0</v>
      </c>
    </row>
    <row r="30" spans="1:14" ht="45" hidden="1" x14ac:dyDescent="0.25">
      <c r="A30" t="s">
        <v>217</v>
      </c>
      <c r="B30" t="s">
        <v>167</v>
      </c>
      <c r="C30" t="s">
        <v>289</v>
      </c>
      <c r="D30" t="s">
        <v>294</v>
      </c>
      <c r="E30" t="s">
        <v>367</v>
      </c>
      <c r="F30" t="s">
        <v>314</v>
      </c>
      <c r="G30" t="s">
        <v>290</v>
      </c>
      <c r="H30" s="25" t="s">
        <v>1131</v>
      </c>
      <c r="I30" t="b">
        <f>COUNTIF($N$2:$N$50,"Predictive Awareness")&gt;0</f>
        <v>0</v>
      </c>
      <c r="N30">
        <f>'Character Builder'!$H$55</f>
        <v>0</v>
      </c>
    </row>
    <row r="31" spans="1:14" ht="30" hidden="1" x14ac:dyDescent="0.25">
      <c r="A31" t="s">
        <v>217</v>
      </c>
      <c r="B31" t="s">
        <v>167</v>
      </c>
      <c r="C31" t="s">
        <v>289</v>
      </c>
      <c r="D31" t="s">
        <v>295</v>
      </c>
      <c r="E31" t="s">
        <v>220</v>
      </c>
      <c r="G31" t="s">
        <v>296</v>
      </c>
      <c r="H31" s="25" t="s">
        <v>297</v>
      </c>
      <c r="I31" t="b">
        <f>AND(IFERROR(INDEX($L$2:$L$22,MATCH("Blue",$K$2:$K$22,0)),0)&gt;=2,OR(COUNTIF($N$2:$N$50,"Future Vector")&gt;0,COUNTIF($N$2:$N$50,"Telepathic Network")&gt;0))</f>
        <v>0</v>
      </c>
      <c r="N31">
        <f>'Character Builder'!$H$56</f>
        <v>0</v>
      </c>
    </row>
    <row r="32" spans="1:14" ht="30" hidden="1" x14ac:dyDescent="0.25">
      <c r="A32" t="s">
        <v>217</v>
      </c>
      <c r="B32" t="s">
        <v>167</v>
      </c>
      <c r="C32" t="s">
        <v>289</v>
      </c>
      <c r="D32" t="s">
        <v>298</v>
      </c>
      <c r="E32" t="s">
        <v>224</v>
      </c>
      <c r="G32" t="s">
        <v>295</v>
      </c>
      <c r="H32" s="25" t="s">
        <v>299</v>
      </c>
      <c r="I32" t="b">
        <f>COUNTIF($N$2:$N$50,"Calculated Patience")&gt;0</f>
        <v>0</v>
      </c>
      <c r="N32">
        <f>'Character Builder'!$H$57</f>
        <v>0</v>
      </c>
    </row>
    <row r="33" spans="1:14" ht="30" hidden="1" x14ac:dyDescent="0.25">
      <c r="A33" t="s">
        <v>217</v>
      </c>
      <c r="B33" t="s">
        <v>167</v>
      </c>
      <c r="C33" t="s">
        <v>289</v>
      </c>
      <c r="D33" t="s">
        <v>300</v>
      </c>
      <c r="E33" t="s">
        <v>220</v>
      </c>
      <c r="G33" t="s">
        <v>298</v>
      </c>
      <c r="H33" s="25" t="s">
        <v>301</v>
      </c>
      <c r="I33" t="b">
        <f>COUNTIF($N$2:$N$50,"Reactive Analysis")&gt;0</f>
        <v>0</v>
      </c>
      <c r="N33">
        <f>'Character Builder'!$H$58</f>
        <v>0</v>
      </c>
    </row>
    <row r="34" spans="1:14" ht="30" hidden="1" x14ac:dyDescent="0.25">
      <c r="A34" t="s">
        <v>217</v>
      </c>
      <c r="B34" t="s">
        <v>167</v>
      </c>
      <c r="C34" t="s">
        <v>289</v>
      </c>
      <c r="D34" t="s">
        <v>302</v>
      </c>
      <c r="E34" t="s">
        <v>224</v>
      </c>
      <c r="F34" t="s">
        <v>236</v>
      </c>
      <c r="G34" t="s">
        <v>303</v>
      </c>
      <c r="H34" s="25" t="s">
        <v>304</v>
      </c>
      <c r="I34" t="b">
        <f>AND(COUNTIF($N$2:$N$50,"Probable Outcome")&gt;0,IFERROR(INDEX($L$2:$L$22,MATCH("Blue",$K$2:$K$22,0)),0)&gt;=2)</f>
        <v>0</v>
      </c>
      <c r="N34">
        <f>'Character Builder'!$H$59</f>
        <v>0</v>
      </c>
    </row>
    <row r="35" spans="1:14" hidden="1" x14ac:dyDescent="0.25">
      <c r="A35" t="s">
        <v>217</v>
      </c>
      <c r="B35" t="s">
        <v>167</v>
      </c>
      <c r="C35" t="s">
        <v>289</v>
      </c>
      <c r="D35" t="s">
        <v>305</v>
      </c>
      <c r="E35" t="s">
        <v>220</v>
      </c>
      <c r="G35" t="s">
        <v>306</v>
      </c>
      <c r="H35" s="25" t="s">
        <v>307</v>
      </c>
      <c r="I35" t="b">
        <f>AND(COUNTIF($N$2:$N$50,"Foretold Conclusion")&gt;0,IFERROR(INDEX($L$2:$L$22,MATCH("Blue",$K$2:$K$22,0)),0)&gt;=3)</f>
        <v>0</v>
      </c>
      <c r="N35">
        <f>'Character Builder'!$H$60</f>
        <v>0</v>
      </c>
    </row>
    <row r="36" spans="1:14" ht="30" hidden="1" x14ac:dyDescent="0.25">
      <c r="A36" t="s">
        <v>217</v>
      </c>
      <c r="B36" t="s">
        <v>167</v>
      </c>
      <c r="C36" t="s">
        <v>322</v>
      </c>
      <c r="D36" t="s">
        <v>309</v>
      </c>
      <c r="E36" t="s">
        <v>220</v>
      </c>
      <c r="H36" s="25" t="s">
        <v>310</v>
      </c>
      <c r="I36" t="b">
        <f>TRUE</f>
        <v>1</v>
      </c>
      <c r="N36">
        <f>'Character Builder'!$H$61</f>
        <v>0</v>
      </c>
    </row>
    <row r="37" spans="1:14" ht="60" hidden="1" x14ac:dyDescent="0.25">
      <c r="A37" t="s">
        <v>217</v>
      </c>
      <c r="B37" t="s">
        <v>167</v>
      </c>
      <c r="C37" t="s">
        <v>308</v>
      </c>
      <c r="D37" t="s">
        <v>311</v>
      </c>
      <c r="E37" t="s">
        <v>235</v>
      </c>
      <c r="F37" t="s">
        <v>250</v>
      </c>
      <c r="G37" t="s">
        <v>323</v>
      </c>
      <c r="H37" s="25" t="s">
        <v>1133</v>
      </c>
      <c r="I37" t="b">
        <f>COUNTIF($N$2:$N$50,"Inertial Sense")&gt;0</f>
        <v>0</v>
      </c>
      <c r="N37">
        <f>'Character Builder'!$H$62</f>
        <v>0</v>
      </c>
    </row>
    <row r="38" spans="1:14" ht="30" hidden="1" x14ac:dyDescent="0.25">
      <c r="A38" t="s">
        <v>217</v>
      </c>
      <c r="B38" t="s">
        <v>167</v>
      </c>
      <c r="C38" t="s">
        <v>308</v>
      </c>
      <c r="D38" t="s">
        <v>312</v>
      </c>
      <c r="E38" t="s">
        <v>224</v>
      </c>
      <c r="G38" t="s">
        <v>311</v>
      </c>
      <c r="H38" s="25" t="s">
        <v>1134</v>
      </c>
      <c r="I38" t="b">
        <f>COUNTIF($N$2:$N$50,"Inertial Sense")&gt;0</f>
        <v>0</v>
      </c>
      <c r="N38">
        <f>'Character Builder'!$H$63</f>
        <v>0</v>
      </c>
    </row>
    <row r="39" spans="1:14" ht="120" hidden="1" x14ac:dyDescent="0.25">
      <c r="A39" t="s">
        <v>217</v>
      </c>
      <c r="B39" t="s">
        <v>167</v>
      </c>
      <c r="C39" t="s">
        <v>308</v>
      </c>
      <c r="D39" t="s">
        <v>1137</v>
      </c>
      <c r="E39" t="s">
        <v>253</v>
      </c>
      <c r="F39" t="s">
        <v>1138</v>
      </c>
      <c r="G39" t="s">
        <v>313</v>
      </c>
      <c r="H39" s="25" t="s">
        <v>1139</v>
      </c>
      <c r="I39" t="b">
        <f>OR(COUNTIF($N$2:$N$50,"Redirect Momentum")&gt;0,COUNTIF($N$2:$N$50,"Velocity Shift")&gt;0)</f>
        <v>0</v>
      </c>
      <c r="N39">
        <f>'Character Builder'!$H$64</f>
        <v>0</v>
      </c>
    </row>
    <row r="40" spans="1:14" ht="30" hidden="1" x14ac:dyDescent="0.25">
      <c r="A40" t="s">
        <v>217</v>
      </c>
      <c r="B40" t="s">
        <v>167</v>
      </c>
      <c r="C40" t="s">
        <v>308</v>
      </c>
      <c r="D40" t="s">
        <v>313</v>
      </c>
      <c r="E40" t="s">
        <v>253</v>
      </c>
      <c r="F40" t="s">
        <v>250</v>
      </c>
      <c r="G40" t="s">
        <v>1135</v>
      </c>
      <c r="H40" s="25" t="s">
        <v>1140</v>
      </c>
      <c r="I40" t="b">
        <f>AND(COUNTIF($N$2:$N$50,"Vector Control")&gt;0,IFERROR(INDEX($L$2:$L$22,MATCH("Blue",$K$2:$K$22,0)),0)&gt;=2)</f>
        <v>0</v>
      </c>
      <c r="N40">
        <f>'Character Builder'!$H$65</f>
        <v>0</v>
      </c>
    </row>
    <row r="41" spans="1:14" ht="30" hidden="1" x14ac:dyDescent="0.25">
      <c r="A41" t="s">
        <v>217</v>
      </c>
      <c r="B41" t="s">
        <v>167</v>
      </c>
      <c r="C41" t="s">
        <v>308</v>
      </c>
      <c r="D41" t="s">
        <v>315</v>
      </c>
      <c r="E41" t="s">
        <v>253</v>
      </c>
      <c r="F41" t="s">
        <v>236</v>
      </c>
      <c r="G41" t="s">
        <v>1136</v>
      </c>
      <c r="H41" s="25" t="s">
        <v>316</v>
      </c>
      <c r="I41" t="b">
        <f>COUNTIF($N$2:$N$50,"Phantom Barricade")&gt;0</f>
        <v>0</v>
      </c>
      <c r="N41">
        <f>'Character Builder'!$H$66</f>
        <v>0</v>
      </c>
    </row>
    <row r="42" spans="1:14" ht="30" hidden="1" x14ac:dyDescent="0.25">
      <c r="A42" t="s">
        <v>217</v>
      </c>
      <c r="B42" t="s">
        <v>167</v>
      </c>
      <c r="C42" t="s">
        <v>308</v>
      </c>
      <c r="D42" t="s">
        <v>317</v>
      </c>
      <c r="E42" t="s">
        <v>220</v>
      </c>
      <c r="G42" t="s">
        <v>315</v>
      </c>
      <c r="H42" s="25" t="s">
        <v>318</v>
      </c>
      <c r="I42" t="b">
        <f>COUNTIF($N$2:$N$50,"Spatial Lock")&gt;0</f>
        <v>0</v>
      </c>
      <c r="N42">
        <f>'Character Builder'!$H$67</f>
        <v>0</v>
      </c>
    </row>
    <row r="43" spans="1:14" ht="30" hidden="1" x14ac:dyDescent="0.25">
      <c r="A43" t="s">
        <v>217</v>
      </c>
      <c r="B43" t="s">
        <v>167</v>
      </c>
      <c r="C43" t="s">
        <v>308</v>
      </c>
      <c r="D43" t="s">
        <v>319</v>
      </c>
      <c r="E43" t="s">
        <v>220</v>
      </c>
      <c r="G43" t="s">
        <v>320</v>
      </c>
      <c r="H43" s="25" t="s">
        <v>321</v>
      </c>
      <c r="I43" t="b">
        <f>AND(COUNTIF($N$2:$N$50,"Kinetic Rebound")&gt;0,IFERROR(INDEX($L$2:$L$22,MATCH("Blue",$K$2:$K$22,0)),0)&gt;=3)</f>
        <v>0</v>
      </c>
      <c r="N43">
        <f>'Character Builder'!$H$68</f>
        <v>0</v>
      </c>
    </row>
    <row r="44" spans="1:14" ht="30" hidden="1" x14ac:dyDescent="0.25">
      <c r="A44" t="s">
        <v>217</v>
      </c>
      <c r="B44" t="s">
        <v>167</v>
      </c>
      <c r="C44" t="s">
        <v>308</v>
      </c>
      <c r="D44" t="s">
        <v>323</v>
      </c>
      <c r="E44" t="s">
        <v>220</v>
      </c>
      <c r="H44" s="25" t="s">
        <v>1132</v>
      </c>
      <c r="I44" t="b">
        <f>TRUE</f>
        <v>1</v>
      </c>
      <c r="N44">
        <f>'Character Builder'!$H$69</f>
        <v>0</v>
      </c>
    </row>
    <row r="45" spans="1:14" ht="30" hidden="1" x14ac:dyDescent="0.25">
      <c r="A45" t="s">
        <v>217</v>
      </c>
      <c r="B45" t="s">
        <v>167</v>
      </c>
      <c r="C45" t="s">
        <v>322</v>
      </c>
      <c r="D45" t="s">
        <v>324</v>
      </c>
      <c r="E45" t="s">
        <v>224</v>
      </c>
      <c r="G45" t="s">
        <v>309</v>
      </c>
      <c r="H45" s="25" t="s">
        <v>325</v>
      </c>
      <c r="I45" t="b">
        <f>COUNTIF($N$2:$N$50,"Subtle Suggestion")&gt;0</f>
        <v>0</v>
      </c>
      <c r="N45">
        <f>'Character Builder'!$H$70</f>
        <v>0</v>
      </c>
    </row>
    <row r="46" spans="1:14" hidden="1" x14ac:dyDescent="0.25">
      <c r="A46" t="s">
        <v>217</v>
      </c>
      <c r="B46" t="s">
        <v>167</v>
      </c>
      <c r="C46" t="s">
        <v>322</v>
      </c>
      <c r="D46" t="s">
        <v>326</v>
      </c>
      <c r="E46" t="s">
        <v>220</v>
      </c>
      <c r="G46" t="s">
        <v>309</v>
      </c>
      <c r="H46" s="25" t="s">
        <v>327</v>
      </c>
      <c r="I46" t="b">
        <f>COUNTIF($N$2:$N$50,"Subtle Suggestion")&gt;0</f>
        <v>0</v>
      </c>
      <c r="N46">
        <f>'Character Builder'!$H$71</f>
        <v>0</v>
      </c>
    </row>
    <row r="47" spans="1:14" ht="30" hidden="1" x14ac:dyDescent="0.25">
      <c r="A47" t="s">
        <v>217</v>
      </c>
      <c r="B47" t="s">
        <v>167</v>
      </c>
      <c r="C47" t="s">
        <v>322</v>
      </c>
      <c r="D47" t="s">
        <v>328</v>
      </c>
      <c r="E47" t="s">
        <v>224</v>
      </c>
      <c r="G47" t="s">
        <v>329</v>
      </c>
      <c r="H47" s="25" t="s">
        <v>330</v>
      </c>
      <c r="I47" t="b">
        <f>AND(IFERROR(INDEX($L$2:$L$22,MATCH("Blue",$K$2:$K$22,0)),0)&gt;=2,OR(COUNTIF($N$2:$N$50,"Fractured Attention")&gt;0,COUNTIF($N$2:$N$50,"Composed")&gt;0))</f>
        <v>0</v>
      </c>
      <c r="N47">
        <f>'Character Builder'!$H$72</f>
        <v>0</v>
      </c>
    </row>
    <row r="48" spans="1:14" ht="30" hidden="1" x14ac:dyDescent="0.25">
      <c r="A48" t="s">
        <v>217</v>
      </c>
      <c r="B48" t="s">
        <v>167</v>
      </c>
      <c r="C48" t="s">
        <v>322</v>
      </c>
      <c r="D48" t="s">
        <v>331</v>
      </c>
      <c r="E48" t="s">
        <v>253</v>
      </c>
      <c r="F48" t="s">
        <v>236</v>
      </c>
      <c r="G48" t="s">
        <v>328</v>
      </c>
      <c r="H48" s="25" t="s">
        <v>332</v>
      </c>
      <c r="I48" t="b">
        <f>COUNTIF($N$2:$N$50,"Predictive Thread")&gt;0</f>
        <v>0</v>
      </c>
      <c r="N48">
        <f>'Character Builder'!$H$73</f>
        <v>0</v>
      </c>
    </row>
    <row r="49" spans="1:14" ht="45" hidden="1" x14ac:dyDescent="0.25">
      <c r="A49" t="s">
        <v>217</v>
      </c>
      <c r="B49" t="s">
        <v>167</v>
      </c>
      <c r="C49" t="s">
        <v>322</v>
      </c>
      <c r="D49" t="s">
        <v>333</v>
      </c>
      <c r="E49" t="s">
        <v>235</v>
      </c>
      <c r="G49" t="s">
        <v>328</v>
      </c>
      <c r="H49" s="25" t="s">
        <v>334</v>
      </c>
      <c r="I49" t="b">
        <f>COUNTIF($N$2:$N$50,"Predictive Thread")&gt;0</f>
        <v>0</v>
      </c>
      <c r="N49">
        <f>'Character Builder'!$H$74</f>
        <v>0</v>
      </c>
    </row>
    <row r="50" spans="1:14" ht="45" hidden="1" x14ac:dyDescent="0.25">
      <c r="A50" t="s">
        <v>217</v>
      </c>
      <c r="B50" t="s">
        <v>167</v>
      </c>
      <c r="C50" t="s">
        <v>322</v>
      </c>
      <c r="D50" t="s">
        <v>335</v>
      </c>
      <c r="E50" t="s">
        <v>224</v>
      </c>
      <c r="F50" t="s">
        <v>231</v>
      </c>
      <c r="G50" t="s">
        <v>336</v>
      </c>
      <c r="H50" s="25" t="s">
        <v>337</v>
      </c>
      <c r="I50" t="b">
        <f>OR(COUNTIF($N$2:$N$50,"Calculated Delay")&gt;0,COUNTIF($N$2:$N$50,"False Premise")&gt;0)</f>
        <v>0</v>
      </c>
      <c r="N50">
        <f>'Character Builder'!$H$75</f>
        <v>0</v>
      </c>
    </row>
    <row r="51" spans="1:14" ht="30" hidden="1" x14ac:dyDescent="0.25">
      <c r="A51" t="s">
        <v>217</v>
      </c>
      <c r="B51" t="s">
        <v>167</v>
      </c>
      <c r="C51" t="s">
        <v>322</v>
      </c>
      <c r="D51" t="s">
        <v>338</v>
      </c>
      <c r="E51" t="s">
        <v>220</v>
      </c>
      <c r="G51" t="s">
        <v>339</v>
      </c>
      <c r="H51" s="25" t="s">
        <v>340</v>
      </c>
      <c r="I51" t="b">
        <f>AND(COUNTIF($N$2:$N$50,"Probability Cascade")&gt;0,IFERROR(INDEX($L$2:$L$22,MATCH("Blue",$K$2:$K$22,0)),0)&gt;=3)</f>
        <v>0</v>
      </c>
    </row>
    <row r="52" spans="1:14" ht="30" hidden="1" x14ac:dyDescent="0.25">
      <c r="A52" t="s">
        <v>217</v>
      </c>
      <c r="B52" t="s">
        <v>164</v>
      </c>
      <c r="C52" t="s">
        <v>218</v>
      </c>
      <c r="D52" t="s">
        <v>341</v>
      </c>
      <c r="E52" t="s">
        <v>220</v>
      </c>
      <c r="H52" s="25" t="s">
        <v>342</v>
      </c>
      <c r="I52" t="b">
        <f>TRUE</f>
        <v>1</v>
      </c>
    </row>
    <row r="53" spans="1:14" ht="75" hidden="1" x14ac:dyDescent="0.25">
      <c r="A53" t="s">
        <v>217</v>
      </c>
      <c r="B53" t="s">
        <v>164</v>
      </c>
      <c r="C53" t="s">
        <v>343</v>
      </c>
      <c r="D53" t="s">
        <v>1127</v>
      </c>
      <c r="E53" t="s">
        <v>367</v>
      </c>
      <c r="F53" t="s">
        <v>250</v>
      </c>
      <c r="H53" s="25" t="s">
        <v>1128</v>
      </c>
      <c r="I53" t="b">
        <f>TRUE</f>
        <v>1</v>
      </c>
    </row>
    <row r="54" spans="1:14" ht="30" hidden="1" x14ac:dyDescent="0.25">
      <c r="A54" t="s">
        <v>217</v>
      </c>
      <c r="B54" t="s">
        <v>164</v>
      </c>
      <c r="C54" t="s">
        <v>343</v>
      </c>
      <c r="D54" t="s">
        <v>344</v>
      </c>
      <c r="E54" t="s">
        <v>224</v>
      </c>
      <c r="G54" t="s">
        <v>1127</v>
      </c>
      <c r="H54" s="25" t="s">
        <v>1130</v>
      </c>
      <c r="I54" t="b">
        <f>COUNTIF($N$2:$N$50,"Jump Scare")&gt;0</f>
        <v>0</v>
      </c>
    </row>
    <row r="55" spans="1:14" ht="30" hidden="1" x14ac:dyDescent="0.25">
      <c r="A55" t="s">
        <v>217</v>
      </c>
      <c r="B55" t="s">
        <v>164</v>
      </c>
      <c r="C55" t="s">
        <v>343</v>
      </c>
      <c r="D55" t="s">
        <v>345</v>
      </c>
      <c r="E55" t="s">
        <v>220</v>
      </c>
      <c r="G55" t="s">
        <v>1127</v>
      </c>
      <c r="H55" s="25" t="s">
        <v>346</v>
      </c>
      <c r="I55" t="b">
        <f>COUNTIF($N$2:$N$50,"Jump Scare")&gt;0</f>
        <v>0</v>
      </c>
    </row>
    <row r="56" spans="1:14" ht="30" hidden="1" x14ac:dyDescent="0.25">
      <c r="A56" t="s">
        <v>217</v>
      </c>
      <c r="B56" t="s">
        <v>164</v>
      </c>
      <c r="C56" t="s">
        <v>343</v>
      </c>
      <c r="D56" t="s">
        <v>347</v>
      </c>
      <c r="E56" t="s">
        <v>224</v>
      </c>
      <c r="G56" t="s">
        <v>348</v>
      </c>
      <c r="H56" s="25" t="s">
        <v>349</v>
      </c>
      <c r="I56" t="b">
        <f>OR(COUNTIF($N$2:$N$50,"Spoils of Isolation")&gt;0,COUNTIF($N$2:$N$50,"Sapping Hex")&gt;0)</f>
        <v>0</v>
      </c>
    </row>
    <row r="57" spans="1:14" ht="45" hidden="1" x14ac:dyDescent="0.25">
      <c r="A57" t="s">
        <v>217</v>
      </c>
      <c r="B57" t="s">
        <v>164</v>
      </c>
      <c r="C57" t="s">
        <v>343</v>
      </c>
      <c r="D57" t="s">
        <v>350</v>
      </c>
      <c r="E57" t="s">
        <v>351</v>
      </c>
      <c r="F57" t="s">
        <v>250</v>
      </c>
      <c r="G57" t="s">
        <v>352</v>
      </c>
      <c r="H57" s="25" t="s">
        <v>1129</v>
      </c>
      <c r="I57" t="b">
        <f>AND(COUNTIF($N$2:$N$50,"Severance")&gt;0,IFERROR(INDEX($L$2:$L$22,MATCH("Black",$K$2:$K$22,0)),0)&gt;=2)</f>
        <v>0</v>
      </c>
    </row>
    <row r="58" spans="1:14" ht="30" hidden="1" x14ac:dyDescent="0.25">
      <c r="A58" t="s">
        <v>217</v>
      </c>
      <c r="B58" t="s">
        <v>164</v>
      </c>
      <c r="C58" t="s">
        <v>343</v>
      </c>
      <c r="D58" t="s">
        <v>353</v>
      </c>
      <c r="E58" t="s">
        <v>224</v>
      </c>
      <c r="G58" t="s">
        <v>350</v>
      </c>
      <c r="H58" s="25" t="s">
        <v>354</v>
      </c>
      <c r="I58" t="b">
        <f>COUNTIF($N$2:$N$50,"Cruel Step")&gt;0</f>
        <v>0</v>
      </c>
    </row>
    <row r="59" spans="1:14" ht="30" hidden="1" x14ac:dyDescent="0.25">
      <c r="A59" t="s">
        <v>217</v>
      </c>
      <c r="B59" t="s">
        <v>164</v>
      </c>
      <c r="C59" t="s">
        <v>343</v>
      </c>
      <c r="D59" t="s">
        <v>355</v>
      </c>
      <c r="E59" t="s">
        <v>220</v>
      </c>
      <c r="G59" t="s">
        <v>353</v>
      </c>
      <c r="H59" s="25" t="s">
        <v>356</v>
      </c>
      <c r="I59" t="b">
        <f>COUNTIF($N$2:$N$50,"Solitude's Toll")&gt;0</f>
        <v>0</v>
      </c>
    </row>
    <row r="60" spans="1:14" ht="45" hidden="1" x14ac:dyDescent="0.25">
      <c r="A60" t="s">
        <v>217</v>
      </c>
      <c r="B60" t="s">
        <v>164</v>
      </c>
      <c r="C60" t="s">
        <v>343</v>
      </c>
      <c r="D60" t="s">
        <v>357</v>
      </c>
      <c r="E60" t="s">
        <v>235</v>
      </c>
      <c r="F60" t="s">
        <v>1125</v>
      </c>
      <c r="G60" t="s">
        <v>358</v>
      </c>
      <c r="H60" s="25" t="s">
        <v>1126</v>
      </c>
      <c r="I60" t="b">
        <f>AND(COUNTIF($N$2:$N$50,"Dread Presence")&gt;0,IFERROR(INDEX($L$2:$L$22,MATCH("Black",$K$2:$K$22,0)),0)&gt;=3)</f>
        <v>0</v>
      </c>
    </row>
    <row r="61" spans="1:14" ht="30" hidden="1" x14ac:dyDescent="0.25">
      <c r="A61" t="s">
        <v>217</v>
      </c>
      <c r="B61" t="s">
        <v>164</v>
      </c>
      <c r="C61" t="s">
        <v>359</v>
      </c>
      <c r="D61" t="s">
        <v>360</v>
      </c>
      <c r="E61" t="s">
        <v>220</v>
      </c>
      <c r="G61" t="s">
        <v>361</v>
      </c>
      <c r="H61" s="25" t="s">
        <v>1116</v>
      </c>
      <c r="I61" t="b">
        <f>TRUE</f>
        <v>1</v>
      </c>
    </row>
    <row r="62" spans="1:14" hidden="1" x14ac:dyDescent="0.25">
      <c r="A62" t="s">
        <v>217</v>
      </c>
      <c r="B62" t="s">
        <v>164</v>
      </c>
      <c r="C62" t="s">
        <v>359</v>
      </c>
      <c r="D62" t="s">
        <v>265</v>
      </c>
      <c r="E62" t="s">
        <v>220</v>
      </c>
      <c r="G62" t="s">
        <v>360</v>
      </c>
      <c r="H62" s="25" t="s">
        <v>267</v>
      </c>
      <c r="I62" t="b">
        <f>COUNTIF($N$2:$N$50,"Blood Price")&gt;0</f>
        <v>0</v>
      </c>
    </row>
    <row r="63" spans="1:14" ht="45" hidden="1" x14ac:dyDescent="0.25">
      <c r="A63" t="s">
        <v>217</v>
      </c>
      <c r="B63" t="s">
        <v>164</v>
      </c>
      <c r="C63" t="s">
        <v>359</v>
      </c>
      <c r="D63" t="s">
        <v>361</v>
      </c>
      <c r="E63" t="s">
        <v>253</v>
      </c>
      <c r="F63" t="s">
        <v>362</v>
      </c>
      <c r="H63" s="25" t="s">
        <v>1114</v>
      </c>
      <c r="I63" t="b">
        <f>COUNTIF($N$2:$N$50,"Hardy (Blood path)")&gt;0</f>
        <v>0</v>
      </c>
    </row>
    <row r="64" spans="1:14" ht="30" hidden="1" x14ac:dyDescent="0.25">
      <c r="A64" t="s">
        <v>217</v>
      </c>
      <c r="B64" t="s">
        <v>164</v>
      </c>
      <c r="C64" t="s">
        <v>359</v>
      </c>
      <c r="D64" t="s">
        <v>363</v>
      </c>
      <c r="E64" t="s">
        <v>224</v>
      </c>
      <c r="G64" t="s">
        <v>361</v>
      </c>
      <c r="H64" s="25" t="s">
        <v>1117</v>
      </c>
      <c r="I64" t="b">
        <f>COUNTIF($N$2:$N$50,"Withering Ray")&gt;0</f>
        <v>0</v>
      </c>
    </row>
    <row r="65" spans="1:9" ht="45" hidden="1" x14ac:dyDescent="0.25">
      <c r="A65" t="s">
        <v>217</v>
      </c>
      <c r="B65" t="s">
        <v>164</v>
      </c>
      <c r="C65" t="s">
        <v>359</v>
      </c>
      <c r="D65" t="s">
        <v>364</v>
      </c>
      <c r="E65" t="s">
        <v>253</v>
      </c>
      <c r="F65" t="s">
        <v>365</v>
      </c>
      <c r="G65" t="s">
        <v>265</v>
      </c>
      <c r="H65" s="25" t="s">
        <v>1115</v>
      </c>
      <c r="I65" t="b">
        <f>COUNTIF($N$2:$N$50,"Hardy (Preparation path)")&gt;0</f>
        <v>0</v>
      </c>
    </row>
    <row r="66" spans="1:9" ht="45" hidden="1" x14ac:dyDescent="0.25">
      <c r="A66" t="s">
        <v>217</v>
      </c>
      <c r="B66" t="s">
        <v>164</v>
      </c>
      <c r="C66" t="s">
        <v>359</v>
      </c>
      <c r="D66" t="s">
        <v>366</v>
      </c>
      <c r="E66" t="s">
        <v>220</v>
      </c>
      <c r="G66" t="s">
        <v>364</v>
      </c>
      <c r="H66" s="25" t="s">
        <v>1118</v>
      </c>
      <c r="I66" t="b">
        <f>COUNTIF($N$2:$N$50,"Dark Investiture")&gt;0</f>
        <v>0</v>
      </c>
    </row>
    <row r="67" spans="1:9" ht="45" hidden="1" x14ac:dyDescent="0.25">
      <c r="A67" t="s">
        <v>217</v>
      </c>
      <c r="B67" t="s">
        <v>164</v>
      </c>
      <c r="C67" t="s">
        <v>359</v>
      </c>
      <c r="D67" t="s">
        <v>1120</v>
      </c>
      <c r="E67" t="s">
        <v>253</v>
      </c>
      <c r="F67" t="s">
        <v>314</v>
      </c>
      <c r="G67" t="s">
        <v>368</v>
      </c>
      <c r="H67" s="25" t="s">
        <v>1119</v>
      </c>
      <c r="I67" t="b">
        <f>OR(COUNTIF($N$2:$N$50,"Necrotic Grasp")&gt;0,COUNTIF($N$2:$N$50,"Sanguine Reservoir")&gt;0)</f>
        <v>0</v>
      </c>
    </row>
    <row r="68" spans="1:9" ht="30" hidden="1" x14ac:dyDescent="0.25">
      <c r="A68" t="s">
        <v>217</v>
      </c>
      <c r="B68" t="s">
        <v>164</v>
      </c>
      <c r="C68" t="s">
        <v>359</v>
      </c>
      <c r="D68" t="s">
        <v>369</v>
      </c>
      <c r="E68" t="s">
        <v>220</v>
      </c>
      <c r="G68" t="s">
        <v>1121</v>
      </c>
      <c r="H68" s="25" t="s">
        <v>370</v>
      </c>
      <c r="I68" t="b">
        <f>AND(COUNTIF($N$2:$N$50,"Grievous Bargain")&gt;0,IFERROR(INDEX($L$2:$L$22,MATCH("Black",$K$2:$K$22,0)),0)&gt;=3)</f>
        <v>0</v>
      </c>
    </row>
    <row r="69" spans="1:9" ht="30" hidden="1" x14ac:dyDescent="0.25">
      <c r="A69" t="s">
        <v>217</v>
      </c>
      <c r="B69" t="s">
        <v>164</v>
      </c>
      <c r="C69" t="s">
        <v>371</v>
      </c>
      <c r="D69" t="s">
        <v>372</v>
      </c>
      <c r="E69" t="s">
        <v>220</v>
      </c>
      <c r="G69" t="s">
        <v>384</v>
      </c>
      <c r="H69" s="25" t="s">
        <v>373</v>
      </c>
      <c r="I69" t="b">
        <f>TRUE</f>
        <v>1</v>
      </c>
    </row>
    <row r="70" spans="1:9" ht="30" hidden="1" x14ac:dyDescent="0.25">
      <c r="A70" t="s">
        <v>217</v>
      </c>
      <c r="B70" t="s">
        <v>164</v>
      </c>
      <c r="C70" t="s">
        <v>371</v>
      </c>
      <c r="D70" t="s">
        <v>374</v>
      </c>
      <c r="E70" t="s">
        <v>224</v>
      </c>
      <c r="G70" t="s">
        <v>384</v>
      </c>
      <c r="H70" s="25" t="s">
        <v>375</v>
      </c>
      <c r="I70" t="b">
        <f>COUNTIF($N$2:$N$50,"Mental Trespass")&gt;0</f>
        <v>0</v>
      </c>
    </row>
    <row r="71" spans="1:9" ht="45" hidden="1" x14ac:dyDescent="0.25">
      <c r="A71" t="s">
        <v>217</v>
      </c>
      <c r="B71" t="s">
        <v>164</v>
      </c>
      <c r="C71" t="s">
        <v>371</v>
      </c>
      <c r="D71" t="s">
        <v>376</v>
      </c>
      <c r="E71" t="s">
        <v>220</v>
      </c>
      <c r="G71" t="s">
        <v>372</v>
      </c>
      <c r="H71" s="25" t="s">
        <v>377</v>
      </c>
      <c r="I71" t="b">
        <f>COUNTIF($N$2:$N$50,"Mental Trespass")&gt;0</f>
        <v>0</v>
      </c>
    </row>
    <row r="72" spans="1:9" ht="30" hidden="1" x14ac:dyDescent="0.25">
      <c r="A72" t="s">
        <v>217</v>
      </c>
      <c r="B72" t="s">
        <v>164</v>
      </c>
      <c r="C72" t="s">
        <v>371</v>
      </c>
      <c r="D72" t="s">
        <v>378</v>
      </c>
      <c r="E72" t="s">
        <v>224</v>
      </c>
      <c r="G72" t="s">
        <v>379</v>
      </c>
      <c r="H72" s="25" t="s">
        <v>380</v>
      </c>
      <c r="I72" t="b">
        <f>OR(COUNTIF($N$2:$N$50,"Coercive Pressure")&gt;0,COUNTIF($N$2:$N$50,"Predatory Insight")&gt;0)</f>
        <v>0</v>
      </c>
    </row>
    <row r="73" spans="1:9" ht="30" hidden="1" x14ac:dyDescent="0.25">
      <c r="A73" t="s">
        <v>217</v>
      </c>
      <c r="B73" t="s">
        <v>164</v>
      </c>
      <c r="C73" t="s">
        <v>371</v>
      </c>
      <c r="D73" t="s">
        <v>381</v>
      </c>
      <c r="E73" t="s">
        <v>224</v>
      </c>
      <c r="G73" t="s">
        <v>382</v>
      </c>
      <c r="H73" s="25" t="s">
        <v>383</v>
      </c>
      <c r="I73" t="b">
        <f>AND(COUNTIF($N$2:$N$50,"Extract Thought")&gt;0,IFERROR(INDEX($L$2:$L$22,MATCH("Black",$K$2:$K$22,0)),0)&gt;=2)</f>
        <v>0</v>
      </c>
    </row>
    <row r="74" spans="1:9" hidden="1" x14ac:dyDescent="0.25">
      <c r="A74" t="s">
        <v>217</v>
      </c>
      <c r="B74" t="s">
        <v>164</v>
      </c>
      <c r="C74" t="s">
        <v>371</v>
      </c>
      <c r="D74" t="s">
        <v>326</v>
      </c>
      <c r="E74" t="s">
        <v>220</v>
      </c>
      <c r="G74" t="s">
        <v>378</v>
      </c>
      <c r="H74" s="25" t="s">
        <v>327</v>
      </c>
      <c r="I74" t="b">
        <f>COUNTIF($N$2:$N$50,"Extract Thought")&gt;0</f>
        <v>0</v>
      </c>
    </row>
    <row r="75" spans="1:9" ht="30" hidden="1" x14ac:dyDescent="0.25">
      <c r="A75" t="s">
        <v>217</v>
      </c>
      <c r="B75" t="s">
        <v>164</v>
      </c>
      <c r="C75" t="s">
        <v>371</v>
      </c>
      <c r="D75" t="s">
        <v>384</v>
      </c>
      <c r="E75" t="s">
        <v>253</v>
      </c>
      <c r="F75" t="s">
        <v>236</v>
      </c>
      <c r="H75" s="25" t="s">
        <v>385</v>
      </c>
      <c r="I75" t="b">
        <f>OR(COUNTIF($N$2:$N$50,"Whispered Doubt")&gt;0,COUNTIF($N$2:$N$50,"Composed")&gt;0)</f>
        <v>0</v>
      </c>
    </row>
    <row r="76" spans="1:9" ht="30" hidden="1" x14ac:dyDescent="0.25">
      <c r="A76" t="s">
        <v>217</v>
      </c>
      <c r="B76" t="s">
        <v>164</v>
      </c>
      <c r="C76" t="s">
        <v>371</v>
      </c>
      <c r="D76" t="s">
        <v>386</v>
      </c>
      <c r="E76" t="s">
        <v>235</v>
      </c>
      <c r="F76" t="s">
        <v>1122</v>
      </c>
      <c r="G76" t="s">
        <v>1124</v>
      </c>
      <c r="H76" s="25" t="s">
        <v>1123</v>
      </c>
      <c r="I76" t="b">
        <f>AND(COUNTIF($N$2:$N$50,"Hollow Command")&gt;0,IFERROR(INDEX($L$2:$L$22,MATCH("Black",$K$2:$K$22,0)),0)&gt;=3)</f>
        <v>0</v>
      </c>
    </row>
    <row r="77" spans="1:9" ht="30" hidden="1" x14ac:dyDescent="0.25">
      <c r="A77" t="s">
        <v>217</v>
      </c>
      <c r="B77" t="s">
        <v>192</v>
      </c>
      <c r="C77" t="s">
        <v>218</v>
      </c>
      <c r="D77" t="s">
        <v>388</v>
      </c>
      <c r="E77" t="s">
        <v>220</v>
      </c>
      <c r="H77" s="25" t="s">
        <v>389</v>
      </c>
      <c r="I77" t="b">
        <f>TRUE</f>
        <v>1</v>
      </c>
    </row>
    <row r="78" spans="1:9" hidden="1" x14ac:dyDescent="0.25">
      <c r="A78" t="s">
        <v>217</v>
      </c>
      <c r="B78" t="s">
        <v>192</v>
      </c>
      <c r="C78" t="s">
        <v>390</v>
      </c>
      <c r="D78" t="s">
        <v>391</v>
      </c>
      <c r="E78" t="s">
        <v>220</v>
      </c>
      <c r="H78" s="25" t="s">
        <v>392</v>
      </c>
      <c r="I78" t="b">
        <f>TRUE</f>
        <v>1</v>
      </c>
    </row>
    <row r="79" spans="1:9" ht="30" hidden="1" x14ac:dyDescent="0.25">
      <c r="A79" t="s">
        <v>217</v>
      </c>
      <c r="B79" t="s">
        <v>192</v>
      </c>
      <c r="C79" t="s">
        <v>390</v>
      </c>
      <c r="D79" t="s">
        <v>393</v>
      </c>
      <c r="E79" t="s">
        <v>351</v>
      </c>
      <c r="G79" t="s">
        <v>391</v>
      </c>
      <c r="H79" s="25" t="s">
        <v>394</v>
      </c>
      <c r="I79" t="b">
        <f>COUNTIF($N$2:$N$50,"Burning Drive")&gt;0</f>
        <v>1</v>
      </c>
    </row>
    <row r="80" spans="1:9" ht="30" hidden="1" x14ac:dyDescent="0.25">
      <c r="A80" t="s">
        <v>217</v>
      </c>
      <c r="B80" t="s">
        <v>192</v>
      </c>
      <c r="C80" t="s">
        <v>390</v>
      </c>
      <c r="D80" t="s">
        <v>395</v>
      </c>
      <c r="E80" t="s">
        <v>224</v>
      </c>
      <c r="G80" t="s">
        <v>391</v>
      </c>
      <c r="H80" s="25" t="s">
        <v>396</v>
      </c>
      <c r="I80" t="b">
        <f>COUNTIF($N$2:$N$50,"Burning Drive")&gt;0</f>
        <v>1</v>
      </c>
    </row>
    <row r="81" spans="1:9" ht="30" hidden="1" x14ac:dyDescent="0.25">
      <c r="A81" t="s">
        <v>217</v>
      </c>
      <c r="B81" t="s">
        <v>192</v>
      </c>
      <c r="C81" t="s">
        <v>390</v>
      </c>
      <c r="D81" t="s">
        <v>397</v>
      </c>
      <c r="E81" t="s">
        <v>224</v>
      </c>
      <c r="G81" t="s">
        <v>398</v>
      </c>
      <c r="H81" s="25" t="s">
        <v>399</v>
      </c>
      <c r="I81" t="b">
        <f>AND(IFERROR(INDEX($L$2:$L$22,MATCH("Red",$K$2:$K$22,0)),0)&gt;=2,OR(COUNTIF($N$2:$N$50,"Reckless Advance")&gt;0,COUNTIF($N$2:$N$50,"Volatile Strike")&gt;0))</f>
        <v>0</v>
      </c>
    </row>
    <row r="82" spans="1:9" ht="30" hidden="1" x14ac:dyDescent="0.25">
      <c r="A82" t="s">
        <v>217</v>
      </c>
      <c r="B82" t="s">
        <v>192</v>
      </c>
      <c r="C82" t="s">
        <v>390</v>
      </c>
      <c r="D82" t="s">
        <v>400</v>
      </c>
      <c r="E82" t="s">
        <v>224</v>
      </c>
      <c r="G82" t="s">
        <v>397</v>
      </c>
      <c r="H82" s="25" t="s">
        <v>401</v>
      </c>
      <c r="I82" t="b">
        <f>COUNTIF($N$2:$N$50,"Escalating Fury")&gt;0</f>
        <v>0</v>
      </c>
    </row>
    <row r="83" spans="1:9" ht="30" hidden="1" x14ac:dyDescent="0.25">
      <c r="A83" t="s">
        <v>217</v>
      </c>
      <c r="B83" t="s">
        <v>192</v>
      </c>
      <c r="C83" t="s">
        <v>390</v>
      </c>
      <c r="D83" t="s">
        <v>402</v>
      </c>
      <c r="E83" t="s">
        <v>351</v>
      </c>
      <c r="G83" t="s">
        <v>397</v>
      </c>
      <c r="H83" s="25" t="s">
        <v>403</v>
      </c>
      <c r="I83" t="b">
        <f>COUNTIF($N$2:$N$50,"Escalating Fury")&gt;0</f>
        <v>0</v>
      </c>
    </row>
    <row r="84" spans="1:9" ht="30" hidden="1" x14ac:dyDescent="0.25">
      <c r="A84" t="s">
        <v>217</v>
      </c>
      <c r="B84" t="s">
        <v>192</v>
      </c>
      <c r="C84" t="s">
        <v>390</v>
      </c>
      <c r="D84" t="s">
        <v>404</v>
      </c>
      <c r="E84" t="s">
        <v>224</v>
      </c>
      <c r="F84" t="s">
        <v>231</v>
      </c>
      <c r="G84" t="s">
        <v>405</v>
      </c>
      <c r="H84" s="25" t="s">
        <v>406</v>
      </c>
      <c r="I84" t="b">
        <f>OR(COUNTIF($N$2:$N$50,"Shockwave Slam")&gt;0,COUNTIF($N$2:$N$50,"Explosive Leap")&gt;0)</f>
        <v>0</v>
      </c>
    </row>
    <row r="85" spans="1:9" ht="30" hidden="1" x14ac:dyDescent="0.25">
      <c r="A85" t="s">
        <v>217</v>
      </c>
      <c r="B85" t="s">
        <v>192</v>
      </c>
      <c r="C85" t="s">
        <v>390</v>
      </c>
      <c r="D85" t="s">
        <v>407</v>
      </c>
      <c r="E85" t="s">
        <v>220</v>
      </c>
      <c r="G85" t="s">
        <v>408</v>
      </c>
      <c r="H85" s="25" t="s">
        <v>409</v>
      </c>
      <c r="I85" t="b">
        <f>AND(COUNTIF($N$2:$N$50,"Reckless Momentum")&gt;0,IFERROR(INDEX($L$2:$L$22,MATCH("Red",$K$2:$K$22,0)),0)&gt;=3)</f>
        <v>0</v>
      </c>
    </row>
    <row r="86" spans="1:9" ht="45" hidden="1" x14ac:dyDescent="0.25">
      <c r="A86" t="s">
        <v>217</v>
      </c>
      <c r="B86" t="s">
        <v>192</v>
      </c>
      <c r="C86" t="s">
        <v>410</v>
      </c>
      <c r="D86" t="s">
        <v>411</v>
      </c>
      <c r="E86" t="s">
        <v>220</v>
      </c>
      <c r="H86" s="25" t="s">
        <v>412</v>
      </c>
      <c r="I86" t="b">
        <f>TRUE</f>
        <v>1</v>
      </c>
    </row>
    <row r="87" spans="1:9" ht="45" hidden="1" x14ac:dyDescent="0.25">
      <c r="A87" t="s">
        <v>217</v>
      </c>
      <c r="B87" t="s">
        <v>192</v>
      </c>
      <c r="C87" t="s">
        <v>410</v>
      </c>
      <c r="D87" t="s">
        <v>413</v>
      </c>
      <c r="E87" t="s">
        <v>253</v>
      </c>
      <c r="F87" t="s">
        <v>250</v>
      </c>
      <c r="G87" t="s">
        <v>411</v>
      </c>
      <c r="H87" s="25" t="s">
        <v>414</v>
      </c>
      <c r="I87" t="b">
        <f>COUNTIF($N$2:$N$50,"Kindle")&gt;0</f>
        <v>0</v>
      </c>
    </row>
    <row r="88" spans="1:9" ht="30" hidden="1" x14ac:dyDescent="0.25">
      <c r="A88" t="s">
        <v>217</v>
      </c>
      <c r="B88" t="s">
        <v>192</v>
      </c>
      <c r="C88" t="s">
        <v>410</v>
      </c>
      <c r="D88" t="s">
        <v>415</v>
      </c>
      <c r="E88" t="s">
        <v>253</v>
      </c>
      <c r="F88" t="s">
        <v>314</v>
      </c>
      <c r="G88" t="s">
        <v>413</v>
      </c>
      <c r="H88" s="25" t="s">
        <v>416</v>
      </c>
      <c r="I88" t="b">
        <f>COUNTIF($N$2:$N$50,"Searing Bolt")&gt;0</f>
        <v>0</v>
      </c>
    </row>
    <row r="89" spans="1:9" ht="45" hidden="1" x14ac:dyDescent="0.25">
      <c r="A89" t="s">
        <v>217</v>
      </c>
      <c r="B89" t="s">
        <v>192</v>
      </c>
      <c r="C89" t="s">
        <v>410</v>
      </c>
      <c r="D89" t="s">
        <v>417</v>
      </c>
      <c r="E89" t="s">
        <v>224</v>
      </c>
      <c r="G89" t="s">
        <v>418</v>
      </c>
      <c r="H89" s="25" t="s">
        <v>419</v>
      </c>
      <c r="I89" t="b">
        <f>AND(COUNTIF($N$2:$N$50,"Searing Bolt")&gt;0,IFERROR(INDEX($L$2:$L$22,MATCH("Red",$K$2:$K$22,0)),0)&gt;=2)</f>
        <v>0</v>
      </c>
    </row>
    <row r="90" spans="1:9" ht="30" hidden="1" x14ac:dyDescent="0.25">
      <c r="A90" t="s">
        <v>217</v>
      </c>
      <c r="B90" t="s">
        <v>192</v>
      </c>
      <c r="C90" t="s">
        <v>410</v>
      </c>
      <c r="D90" t="s">
        <v>420</v>
      </c>
      <c r="E90" t="s">
        <v>235</v>
      </c>
      <c r="G90" t="s">
        <v>421</v>
      </c>
      <c r="H90" s="25" t="s">
        <v>422</v>
      </c>
      <c r="I90" t="b">
        <f>OR(COUNTIF($N$2:$N$50,"Arc Flash")&gt;0,COUNTIF($N$2:$N$50,"Flame Surge")&gt;0)</f>
        <v>0</v>
      </c>
    </row>
    <row r="91" spans="1:9" ht="30" hidden="1" x14ac:dyDescent="0.25">
      <c r="A91" t="s">
        <v>217</v>
      </c>
      <c r="B91" t="s">
        <v>192</v>
      </c>
      <c r="C91" t="s">
        <v>410</v>
      </c>
      <c r="D91" t="s">
        <v>423</v>
      </c>
      <c r="E91" t="s">
        <v>220</v>
      </c>
      <c r="G91" t="s">
        <v>420</v>
      </c>
      <c r="H91" s="25" t="s">
        <v>424</v>
      </c>
      <c r="I91" t="b">
        <f>COUNTIF($N$2:$N$50,"Backblast")&gt;0</f>
        <v>0</v>
      </c>
    </row>
    <row r="92" spans="1:9" ht="45" hidden="1" x14ac:dyDescent="0.25">
      <c r="A92" t="s">
        <v>217</v>
      </c>
      <c r="B92" t="s">
        <v>192</v>
      </c>
      <c r="C92" t="s">
        <v>410</v>
      </c>
      <c r="D92" t="s">
        <v>425</v>
      </c>
      <c r="E92" t="s">
        <v>224</v>
      </c>
      <c r="F92" t="s">
        <v>231</v>
      </c>
      <c r="G92" t="s">
        <v>426</v>
      </c>
      <c r="H92" s="25" t="s">
        <v>427</v>
      </c>
      <c r="I92" t="b">
        <f>AND(COUNTIF($N$2:$N$50,"Mighty")&gt;0,IFERROR(INDEX($L$2:$L$22,MATCH("Red",$K$2:$K$22,0)),0)&gt;=2)</f>
        <v>0</v>
      </c>
    </row>
    <row r="93" spans="1:9" ht="45" hidden="1" x14ac:dyDescent="0.25">
      <c r="A93" t="s">
        <v>217</v>
      </c>
      <c r="B93" t="s">
        <v>192</v>
      </c>
      <c r="C93" t="s">
        <v>410</v>
      </c>
      <c r="D93" t="s">
        <v>428</v>
      </c>
      <c r="E93" t="s">
        <v>220</v>
      </c>
      <c r="G93" t="s">
        <v>429</v>
      </c>
      <c r="H93" s="25" t="s">
        <v>430</v>
      </c>
      <c r="I93" t="b">
        <f>AND(COUNTIF($N$2:$N$50,"Afterburn")&gt;0,IFERROR(INDEX($L$2:$L$22,MATCH("Red",$K$2:$K$22,0)),0)&gt;=3)</f>
        <v>0</v>
      </c>
    </row>
    <row r="94" spans="1:9" ht="45" hidden="1" x14ac:dyDescent="0.25">
      <c r="A94" t="s">
        <v>217</v>
      </c>
      <c r="B94" t="s">
        <v>192</v>
      </c>
      <c r="C94" t="s">
        <v>431</v>
      </c>
      <c r="D94" t="s">
        <v>432</v>
      </c>
      <c r="E94" t="s">
        <v>253</v>
      </c>
      <c r="F94" t="s">
        <v>250</v>
      </c>
      <c r="H94" s="25" t="s">
        <v>433</v>
      </c>
      <c r="I94" t="b">
        <f>TRUE</f>
        <v>1</v>
      </c>
    </row>
    <row r="95" spans="1:9" ht="45" hidden="1" x14ac:dyDescent="0.25">
      <c r="A95" t="s">
        <v>217</v>
      </c>
      <c r="B95" t="s">
        <v>192</v>
      </c>
      <c r="C95" t="s">
        <v>431</v>
      </c>
      <c r="D95" t="s">
        <v>434</v>
      </c>
      <c r="E95" t="s">
        <v>224</v>
      </c>
      <c r="G95" t="s">
        <v>432</v>
      </c>
      <c r="H95" s="25" t="s">
        <v>435</v>
      </c>
      <c r="I95" t="b">
        <f>COUNTIF($N$2:$N$50,"Incite")&gt;0</f>
        <v>1</v>
      </c>
    </row>
    <row r="96" spans="1:9" ht="45" hidden="1" x14ac:dyDescent="0.25">
      <c r="A96" t="s">
        <v>217</v>
      </c>
      <c r="B96" t="s">
        <v>192</v>
      </c>
      <c r="C96" t="s">
        <v>431</v>
      </c>
      <c r="D96" t="s">
        <v>436</v>
      </c>
      <c r="E96" t="s">
        <v>220</v>
      </c>
      <c r="G96" t="s">
        <v>432</v>
      </c>
      <c r="H96" s="25" t="s">
        <v>437</v>
      </c>
      <c r="I96" t="b">
        <f>COUNTIF($N$2:$N$50,"Incite")&gt;0</f>
        <v>1</v>
      </c>
    </row>
    <row r="97" spans="1:9" ht="30" hidden="1" x14ac:dyDescent="0.25">
      <c r="A97" t="s">
        <v>217</v>
      </c>
      <c r="B97" t="s">
        <v>192</v>
      </c>
      <c r="C97" t="s">
        <v>431</v>
      </c>
      <c r="D97" t="s">
        <v>438</v>
      </c>
      <c r="E97" t="s">
        <v>235</v>
      </c>
      <c r="G97" t="s">
        <v>439</v>
      </c>
      <c r="H97" s="25" t="s">
        <v>440</v>
      </c>
      <c r="I97" t="b">
        <f>AND(IFERROR(INDEX($L$2:$L$22,MATCH("Red",$K$2:$K$22,0)),0)&gt;=2,OR(COUNTIF($N$2:$N$50,"Emotional Overload")&gt;0,COUNTIF($N$2:$N$50,"Battle Fever")&gt;0))</f>
        <v>0</v>
      </c>
    </row>
    <row r="98" spans="1:9" ht="45" hidden="1" x14ac:dyDescent="0.25">
      <c r="A98" t="s">
        <v>217</v>
      </c>
      <c r="B98" t="s">
        <v>192</v>
      </c>
      <c r="C98" t="s">
        <v>431</v>
      </c>
      <c r="D98" t="s">
        <v>441</v>
      </c>
      <c r="E98" t="s">
        <v>224</v>
      </c>
      <c r="F98" t="s">
        <v>231</v>
      </c>
      <c r="G98" t="s">
        <v>438</v>
      </c>
      <c r="H98" s="25" t="s">
        <v>442</v>
      </c>
      <c r="I98" t="b">
        <f>COUNTIF($N$2:$N$50,"Shatter Focus")&gt;0</f>
        <v>0</v>
      </c>
    </row>
    <row r="99" spans="1:9" ht="30" hidden="1" x14ac:dyDescent="0.25">
      <c r="A99" t="s">
        <v>217</v>
      </c>
      <c r="B99" t="s">
        <v>192</v>
      </c>
      <c r="C99" t="s">
        <v>431</v>
      </c>
      <c r="D99" t="s">
        <v>443</v>
      </c>
      <c r="E99" t="s">
        <v>224</v>
      </c>
      <c r="G99" t="s">
        <v>438</v>
      </c>
      <c r="H99" s="25" t="s">
        <v>444</v>
      </c>
      <c r="I99" t="b">
        <f>COUNTIF($N$2:$N$50,"Shatter Focus")&gt;0</f>
        <v>0</v>
      </c>
    </row>
    <row r="100" spans="1:9" ht="30" hidden="1" x14ac:dyDescent="0.25">
      <c r="A100" t="s">
        <v>217</v>
      </c>
      <c r="B100" t="s">
        <v>192</v>
      </c>
      <c r="C100" t="s">
        <v>431</v>
      </c>
      <c r="D100" t="s">
        <v>445</v>
      </c>
      <c r="E100" t="s">
        <v>220</v>
      </c>
      <c r="G100" t="s">
        <v>446</v>
      </c>
      <c r="H100" s="25" t="s">
        <v>447</v>
      </c>
      <c r="I100" t="b">
        <f>OR(COUNTIF($N$2:$N$50,"Reckless Gambit")&gt;0,COUNTIF($N$2:$N$50,"Contagious Fury")&gt;0)</f>
        <v>0</v>
      </c>
    </row>
    <row r="101" spans="1:9" ht="30" hidden="1" x14ac:dyDescent="0.25">
      <c r="A101" t="s">
        <v>217</v>
      </c>
      <c r="B101" t="s">
        <v>192</v>
      </c>
      <c r="C101" t="s">
        <v>431</v>
      </c>
      <c r="D101" t="s">
        <v>448</v>
      </c>
      <c r="E101" t="s">
        <v>224</v>
      </c>
      <c r="G101" t="s">
        <v>449</v>
      </c>
      <c r="H101" s="25" t="s">
        <v>450</v>
      </c>
      <c r="I101" t="b">
        <f>AND(COUNTIF($N$2:$N$50,"Frenzied Tempo")&gt;0,IFERROR(INDEX($L$2:$L$22,MATCH("Red",$K$2:$K$22,0)),0)&gt;=3)</f>
        <v>0</v>
      </c>
    </row>
    <row r="102" spans="1:9" ht="30" hidden="1" x14ac:dyDescent="0.25">
      <c r="A102" t="s">
        <v>217</v>
      </c>
      <c r="B102" t="s">
        <v>180</v>
      </c>
      <c r="C102" t="s">
        <v>218</v>
      </c>
      <c r="D102" t="s">
        <v>451</v>
      </c>
      <c r="E102" t="s">
        <v>220</v>
      </c>
      <c r="H102" s="25" t="s">
        <v>452</v>
      </c>
      <c r="I102" t="b">
        <f>TRUE</f>
        <v>1</v>
      </c>
    </row>
    <row r="103" spans="1:9" ht="30" hidden="1" x14ac:dyDescent="0.25">
      <c r="A103" t="s">
        <v>217</v>
      </c>
      <c r="B103" t="s">
        <v>180</v>
      </c>
      <c r="C103" t="s">
        <v>453</v>
      </c>
      <c r="D103" t="s">
        <v>454</v>
      </c>
      <c r="E103" t="s">
        <v>220</v>
      </c>
      <c r="H103" s="25" t="s">
        <v>455</v>
      </c>
      <c r="I103" t="b">
        <f>TRUE</f>
        <v>1</v>
      </c>
    </row>
    <row r="104" spans="1:9" ht="30" hidden="1" x14ac:dyDescent="0.25">
      <c r="A104" t="s">
        <v>217</v>
      </c>
      <c r="B104" t="s">
        <v>180</v>
      </c>
      <c r="C104" t="s">
        <v>453</v>
      </c>
      <c r="D104" t="s">
        <v>456</v>
      </c>
      <c r="E104" t="s">
        <v>224</v>
      </c>
      <c r="G104" t="s">
        <v>454</v>
      </c>
      <c r="H104" s="25" t="s">
        <v>457</v>
      </c>
      <c r="I104" t="b">
        <f>COUNTIF($N$2:$N$50,"Primal Awareness")&gt;0</f>
        <v>0</v>
      </c>
    </row>
    <row r="105" spans="1:9" ht="30" hidden="1" x14ac:dyDescent="0.25">
      <c r="A105" t="s">
        <v>217</v>
      </c>
      <c r="B105" t="s">
        <v>180</v>
      </c>
      <c r="C105" t="s">
        <v>453</v>
      </c>
      <c r="D105" t="s">
        <v>458</v>
      </c>
      <c r="E105" t="s">
        <v>224</v>
      </c>
      <c r="F105" t="s">
        <v>231</v>
      </c>
      <c r="G105" t="s">
        <v>454</v>
      </c>
      <c r="H105" s="25" t="s">
        <v>459</v>
      </c>
      <c r="I105" t="b">
        <f>COUNTIF($N$2:$N$50,"Primal Awareness")&gt;0</f>
        <v>0</v>
      </c>
    </row>
    <row r="106" spans="1:9" ht="30" hidden="1" x14ac:dyDescent="0.25">
      <c r="A106" t="s">
        <v>217</v>
      </c>
      <c r="B106" t="s">
        <v>180</v>
      </c>
      <c r="C106" t="s">
        <v>453</v>
      </c>
      <c r="D106" t="s">
        <v>460</v>
      </c>
      <c r="E106" t="s">
        <v>220</v>
      </c>
      <c r="G106" t="s">
        <v>461</v>
      </c>
      <c r="H106" s="25" t="s">
        <v>462</v>
      </c>
      <c r="I106" t="b">
        <f>OR(COUNTIF($N$2:$N$50,"Grasping Vines")&gt;0,COUNTIF($N$2:$N$50,"Territorial Instinct")&gt;0)</f>
        <v>0</v>
      </c>
    </row>
    <row r="107" spans="1:9" ht="30" hidden="1" x14ac:dyDescent="0.25">
      <c r="A107" t="s">
        <v>217</v>
      </c>
      <c r="B107" t="s">
        <v>180</v>
      </c>
      <c r="C107" t="s">
        <v>453</v>
      </c>
      <c r="D107" t="s">
        <v>463</v>
      </c>
      <c r="E107" t="s">
        <v>220</v>
      </c>
      <c r="G107" t="s">
        <v>464</v>
      </c>
      <c r="H107" s="25" t="s">
        <v>465</v>
      </c>
      <c r="I107" t="b">
        <f>AND(COUNTIF($N$2:$N$50,"Thorn Field")&gt;0,IFERROR(INDEX($L$2:$L$22,MATCH("Green",$K$2:$K$22,0)),0)&gt;=2)</f>
        <v>0</v>
      </c>
    </row>
    <row r="108" spans="1:9" ht="45" hidden="1" x14ac:dyDescent="0.25">
      <c r="A108" t="s">
        <v>217</v>
      </c>
      <c r="B108" t="s">
        <v>180</v>
      </c>
      <c r="C108" t="s">
        <v>453</v>
      </c>
      <c r="D108" t="s">
        <v>466</v>
      </c>
      <c r="E108" t="s">
        <v>224</v>
      </c>
      <c r="F108" t="s">
        <v>231</v>
      </c>
      <c r="G108" t="s">
        <v>463</v>
      </c>
      <c r="H108" s="25" t="s">
        <v>467</v>
      </c>
      <c r="I108" t="b">
        <f>COUNTIF($N$2:$N$50,"Verdant Resilience")&gt;0</f>
        <v>0</v>
      </c>
    </row>
    <row r="109" spans="1:9" ht="30" hidden="1" x14ac:dyDescent="0.25">
      <c r="A109" t="s">
        <v>217</v>
      </c>
      <c r="B109" t="s">
        <v>180</v>
      </c>
      <c r="C109" t="s">
        <v>453</v>
      </c>
      <c r="D109" t="s">
        <v>468</v>
      </c>
      <c r="E109" t="s">
        <v>224</v>
      </c>
      <c r="G109" t="s">
        <v>466</v>
      </c>
      <c r="H109" s="25" t="s">
        <v>469</v>
      </c>
      <c r="I109" t="b">
        <f>COUNTIF($N$2:$N$50,"Territorial Claim")&gt;0</f>
        <v>0</v>
      </c>
    </row>
    <row r="110" spans="1:9" ht="30" hidden="1" x14ac:dyDescent="0.25">
      <c r="A110" t="s">
        <v>217</v>
      </c>
      <c r="B110" t="s">
        <v>180</v>
      </c>
      <c r="C110" t="s">
        <v>453</v>
      </c>
      <c r="D110" t="s">
        <v>470</v>
      </c>
      <c r="E110" t="s">
        <v>220</v>
      </c>
      <c r="G110" t="s">
        <v>471</v>
      </c>
      <c r="H110" s="25" t="s">
        <v>472</v>
      </c>
      <c r="I110" t="b">
        <f>AND(COUNTIF($N$2:$N$50,"Pack Sense")&gt;0,IFERROR(INDEX($L$2:$L$22,MATCH("Green",$K$2:$K$22,0)),0)&gt;=3)</f>
        <v>0</v>
      </c>
    </row>
    <row r="111" spans="1:9" ht="45" hidden="1" x14ac:dyDescent="0.25">
      <c r="A111" t="s">
        <v>217</v>
      </c>
      <c r="B111" t="s">
        <v>180</v>
      </c>
      <c r="C111" t="s">
        <v>473</v>
      </c>
      <c r="D111" t="s">
        <v>474</v>
      </c>
      <c r="E111" t="s">
        <v>220</v>
      </c>
      <c r="H111" s="25" t="s">
        <v>475</v>
      </c>
      <c r="I111" t="b">
        <f>TRUE</f>
        <v>1</v>
      </c>
    </row>
    <row r="112" spans="1:9" hidden="1" x14ac:dyDescent="0.25">
      <c r="A112" t="s">
        <v>217</v>
      </c>
      <c r="B112" t="s">
        <v>180</v>
      </c>
      <c r="C112" t="s">
        <v>473</v>
      </c>
      <c r="D112" t="s">
        <v>476</v>
      </c>
      <c r="E112" t="s">
        <v>253</v>
      </c>
      <c r="F112" t="s">
        <v>250</v>
      </c>
      <c r="G112" t="s">
        <v>474</v>
      </c>
      <c r="H112" s="25" t="s">
        <v>477</v>
      </c>
      <c r="I112" t="b">
        <f>COUNTIF($N$2:$N$50,"Mender's Instinct")&gt;0</f>
        <v>0</v>
      </c>
    </row>
    <row r="113" spans="1:9" ht="45" hidden="1" x14ac:dyDescent="0.25">
      <c r="A113" t="s">
        <v>217</v>
      </c>
      <c r="B113" t="s">
        <v>180</v>
      </c>
      <c r="C113" t="s">
        <v>473</v>
      </c>
      <c r="D113" t="s">
        <v>478</v>
      </c>
      <c r="E113" t="s">
        <v>224</v>
      </c>
      <c r="G113" t="s">
        <v>474</v>
      </c>
      <c r="H113" s="25" t="s">
        <v>479</v>
      </c>
      <c r="I113" t="b">
        <f>COUNTIF($N$2:$N$50,"Mender's Instinct")&gt;0</f>
        <v>0</v>
      </c>
    </row>
    <row r="114" spans="1:9" ht="30" hidden="1" x14ac:dyDescent="0.25">
      <c r="A114" t="s">
        <v>217</v>
      </c>
      <c r="B114" t="s">
        <v>180</v>
      </c>
      <c r="C114" t="s">
        <v>473</v>
      </c>
      <c r="D114" t="s">
        <v>480</v>
      </c>
      <c r="E114" t="s">
        <v>224</v>
      </c>
      <c r="G114" t="s">
        <v>481</v>
      </c>
      <c r="H114" s="25" t="s">
        <v>482</v>
      </c>
      <c r="I114" t="b">
        <f>OR(COUNTIF($N$2:$N$50,"Verdant Mend")&gt;0,COUNTIF($N$2:$N$50,"Root and Branch")&gt;0)</f>
        <v>0</v>
      </c>
    </row>
    <row r="115" spans="1:9" hidden="1" x14ac:dyDescent="0.25">
      <c r="A115" t="s">
        <v>217</v>
      </c>
      <c r="B115" t="s">
        <v>180</v>
      </c>
      <c r="C115" t="s">
        <v>473</v>
      </c>
      <c r="D115" t="s">
        <v>265</v>
      </c>
      <c r="E115" t="s">
        <v>220</v>
      </c>
      <c r="G115" t="s">
        <v>483</v>
      </c>
      <c r="H115" s="25" t="s">
        <v>267</v>
      </c>
      <c r="I115" t="b">
        <f>AND(COUNTIF($N$2:$N$50,"Natural Recovery")&gt;0,IFERROR(INDEX($L$2:$L$22,MATCH("Green",$K$2:$K$22,0)),0)&gt;=2)</f>
        <v>0</v>
      </c>
    </row>
    <row r="116" spans="1:9" hidden="1" x14ac:dyDescent="0.25">
      <c r="A116" t="s">
        <v>217</v>
      </c>
      <c r="B116" t="s">
        <v>180</v>
      </c>
      <c r="C116" t="s">
        <v>473</v>
      </c>
      <c r="D116" t="s">
        <v>305</v>
      </c>
      <c r="E116" t="s">
        <v>220</v>
      </c>
      <c r="G116" t="s">
        <v>483</v>
      </c>
      <c r="H116" s="25" t="s">
        <v>307</v>
      </c>
      <c r="I116" t="b">
        <f>AND(COUNTIF($N$2:$N$50,"Natural Recovery")&gt;0,IFERROR(INDEX($L$2:$L$22,MATCH("Green",$K$2:$K$22,0)),0)&gt;=2)</f>
        <v>0</v>
      </c>
    </row>
    <row r="117" spans="1:9" ht="30" hidden="1" x14ac:dyDescent="0.25">
      <c r="A117" t="s">
        <v>217</v>
      </c>
      <c r="B117" t="s">
        <v>180</v>
      </c>
      <c r="C117" t="s">
        <v>473</v>
      </c>
      <c r="D117" t="s">
        <v>484</v>
      </c>
      <c r="E117" t="s">
        <v>367</v>
      </c>
      <c r="F117" t="s">
        <v>485</v>
      </c>
      <c r="G117" t="s">
        <v>486</v>
      </c>
      <c r="H117" s="25" t="s">
        <v>487</v>
      </c>
      <c r="I117" t="b">
        <f>OR(COUNTIF($N$2:$N$50,"Hardy")&gt;0,COUNTIF($N$2:$N$50,"Collected")&gt;0)</f>
        <v>0</v>
      </c>
    </row>
    <row r="118" spans="1:9" ht="30" hidden="1" x14ac:dyDescent="0.25">
      <c r="A118" t="s">
        <v>217</v>
      </c>
      <c r="B118" t="s">
        <v>180</v>
      </c>
      <c r="C118" t="s">
        <v>473</v>
      </c>
      <c r="D118" t="s">
        <v>488</v>
      </c>
      <c r="E118" t="s">
        <v>224</v>
      </c>
      <c r="G118" t="s">
        <v>489</v>
      </c>
      <c r="H118" s="25" t="s">
        <v>490</v>
      </c>
      <c r="I118" t="b">
        <f>AND(COUNTIF($N$2:$N$50,"Reknit Form")&gt;0,IFERROR(INDEX($L$2:$L$22,MATCH("Green",$K$2:$K$22,0)),0)&gt;=3)</f>
        <v>0</v>
      </c>
    </row>
    <row r="119" spans="1:9" ht="30" hidden="1" x14ac:dyDescent="0.25">
      <c r="A119" t="s">
        <v>217</v>
      </c>
      <c r="B119" t="s">
        <v>180</v>
      </c>
      <c r="C119" t="s">
        <v>491</v>
      </c>
      <c r="D119" t="s">
        <v>492</v>
      </c>
      <c r="E119" t="s">
        <v>220</v>
      </c>
      <c r="H119" s="25" t="s">
        <v>493</v>
      </c>
      <c r="I119" t="b">
        <f>TRUE</f>
        <v>1</v>
      </c>
    </row>
    <row r="120" spans="1:9" ht="30" hidden="1" x14ac:dyDescent="0.25">
      <c r="A120" t="s">
        <v>217</v>
      </c>
      <c r="B120" t="s">
        <v>180</v>
      </c>
      <c r="C120" t="s">
        <v>491</v>
      </c>
      <c r="D120" t="s">
        <v>494</v>
      </c>
      <c r="E120" t="s">
        <v>224</v>
      </c>
      <c r="G120" t="s">
        <v>492</v>
      </c>
      <c r="H120" s="25" t="s">
        <v>495</v>
      </c>
      <c r="I120" t="b">
        <f>COUNTIF($N$2:$N$50,"Predator's Instinct")&gt;0</f>
        <v>1</v>
      </c>
    </row>
    <row r="121" spans="1:9" ht="30" hidden="1" x14ac:dyDescent="0.25">
      <c r="A121" t="s">
        <v>217</v>
      </c>
      <c r="B121" t="s">
        <v>180</v>
      </c>
      <c r="C121" t="s">
        <v>491</v>
      </c>
      <c r="D121" t="s">
        <v>496</v>
      </c>
      <c r="E121" t="s">
        <v>224</v>
      </c>
      <c r="G121" t="s">
        <v>492</v>
      </c>
      <c r="H121" s="25" t="s">
        <v>497</v>
      </c>
      <c r="I121" t="b">
        <f>COUNTIF($N$2:$N$50,"Predator's Instinct")&gt;0</f>
        <v>1</v>
      </c>
    </row>
    <row r="122" spans="1:9" ht="30" hidden="1" x14ac:dyDescent="0.25">
      <c r="A122" t="s">
        <v>217</v>
      </c>
      <c r="B122" t="s">
        <v>180</v>
      </c>
      <c r="C122" t="s">
        <v>491</v>
      </c>
      <c r="D122" t="s">
        <v>498</v>
      </c>
      <c r="E122" t="s">
        <v>220</v>
      </c>
      <c r="G122" t="s">
        <v>499</v>
      </c>
      <c r="H122" s="25" t="s">
        <v>500</v>
      </c>
      <c r="I122" t="b">
        <f>AND(IFERROR(INDEX($L$2:$L$22,MATCH("Green",$K$2:$K$22,0)),0)&gt;=2,OR(COUNTIF($N$2:$N$50,"Pack Hunter")&gt;0,COUNTIF($N$2:$N$50,"Scent the Weak")&gt;0))</f>
        <v>0</v>
      </c>
    </row>
    <row r="123" spans="1:9" ht="45" hidden="1" x14ac:dyDescent="0.25">
      <c r="A123" t="s">
        <v>217</v>
      </c>
      <c r="B123" t="s">
        <v>180</v>
      </c>
      <c r="C123" t="s">
        <v>491</v>
      </c>
      <c r="D123" t="s">
        <v>501</v>
      </c>
      <c r="E123" t="s">
        <v>220</v>
      </c>
      <c r="G123" t="s">
        <v>498</v>
      </c>
      <c r="H123" s="25" t="s">
        <v>502</v>
      </c>
      <c r="I123" t="b">
        <f>COUNTIF($N$2:$N$50,"Pack Pressure")&gt;0</f>
        <v>0</v>
      </c>
    </row>
    <row r="124" spans="1:9" ht="30" hidden="1" x14ac:dyDescent="0.25">
      <c r="A124" t="s">
        <v>217</v>
      </c>
      <c r="B124" t="s">
        <v>180</v>
      </c>
      <c r="C124" t="s">
        <v>491</v>
      </c>
      <c r="D124" t="s">
        <v>503</v>
      </c>
      <c r="E124" t="s">
        <v>220</v>
      </c>
      <c r="G124" t="s">
        <v>498</v>
      </c>
      <c r="H124" s="25" t="s">
        <v>504</v>
      </c>
      <c r="I124" t="b">
        <f>COUNTIF($N$2:$N$50,"Pack Pressure")&gt;0</f>
        <v>0</v>
      </c>
    </row>
    <row r="125" spans="1:9" ht="30" hidden="1" x14ac:dyDescent="0.25">
      <c r="A125" t="s">
        <v>217</v>
      </c>
      <c r="B125" t="s">
        <v>180</v>
      </c>
      <c r="C125" t="s">
        <v>491</v>
      </c>
      <c r="D125" t="s">
        <v>505</v>
      </c>
      <c r="E125" t="s">
        <v>235</v>
      </c>
      <c r="G125" t="s">
        <v>506</v>
      </c>
      <c r="H125" s="25" t="s">
        <v>507</v>
      </c>
      <c r="I125" t="b">
        <f>OR(COUNTIF($N$2:$N$50,"Primal Sight")&gt;0,COUNTIF($N$2:$N$50,"Surefooted")&gt;0)</f>
        <v>0</v>
      </c>
    </row>
    <row r="126" spans="1:9" ht="45" hidden="1" x14ac:dyDescent="0.25">
      <c r="A126" t="s">
        <v>217</v>
      </c>
      <c r="B126" t="s">
        <v>180</v>
      </c>
      <c r="C126" t="s">
        <v>491</v>
      </c>
      <c r="D126" t="s">
        <v>508</v>
      </c>
      <c r="E126" t="s">
        <v>220</v>
      </c>
      <c r="G126" t="s">
        <v>509</v>
      </c>
      <c r="H126" s="25" t="s">
        <v>510</v>
      </c>
      <c r="I126" t="b">
        <f>AND(COUNTIF($N$2:$N$50,"Packmate's Warning")&gt;0,IFERROR(INDEX($L$2:$L$22,MATCH("Green",$K$2:$K$22,0)),0)&gt;=3)</f>
        <v>0</v>
      </c>
    </row>
    <row r="127" spans="1:9" ht="45" x14ac:dyDescent="0.25">
      <c r="A127" t="s">
        <v>511</v>
      </c>
      <c r="B127" t="s">
        <v>173</v>
      </c>
      <c r="C127" t="s">
        <v>218</v>
      </c>
      <c r="D127" t="s">
        <v>512</v>
      </c>
      <c r="E127" t="s">
        <v>220</v>
      </c>
      <c r="G127" t="s">
        <v>513</v>
      </c>
      <c r="H127" s="25" t="s">
        <v>514</v>
      </c>
      <c r="I127" t="b">
        <f>AND(IFERROR(INDEX($L$2:$L$22,MATCH("Green",$K$2:$K$22,0)),0)&gt;=2,IFERROR(INDEX($L$2:$L$22,MATCH("Black",$K$2:$K$22,0)),0)&gt;=2)</f>
        <v>0</v>
      </c>
    </row>
    <row r="128" spans="1:9" ht="45" x14ac:dyDescent="0.25">
      <c r="A128" t="s">
        <v>511</v>
      </c>
      <c r="B128" t="s">
        <v>173</v>
      </c>
      <c r="C128" t="s">
        <v>173</v>
      </c>
      <c r="D128" t="s">
        <v>515</v>
      </c>
      <c r="E128" t="s">
        <v>253</v>
      </c>
      <c r="F128" t="s">
        <v>314</v>
      </c>
      <c r="G128" t="s">
        <v>512</v>
      </c>
      <c r="H128" s="25" t="s">
        <v>516</v>
      </c>
      <c r="I128" t="b">
        <f>COUNTIF($N$2:$N$50,"Death's Threshold")&gt;0</f>
        <v>0</v>
      </c>
    </row>
    <row r="129" spans="1:9" ht="60" x14ac:dyDescent="0.25">
      <c r="A129" t="s">
        <v>511</v>
      </c>
      <c r="B129" t="s">
        <v>173</v>
      </c>
      <c r="C129" t="s">
        <v>173</v>
      </c>
      <c r="D129" t="s">
        <v>517</v>
      </c>
      <c r="E129" t="s">
        <v>367</v>
      </c>
      <c r="F129" t="s">
        <v>314</v>
      </c>
      <c r="G129" t="s">
        <v>512</v>
      </c>
      <c r="H129" s="25" t="s">
        <v>518</v>
      </c>
      <c r="I129" t="b">
        <f>COUNTIF($N$2:$N$50,"Death's Threshold")&gt;0</f>
        <v>0</v>
      </c>
    </row>
    <row r="130" spans="1:9" ht="45" x14ac:dyDescent="0.25">
      <c r="A130" t="s">
        <v>511</v>
      </c>
      <c r="B130" t="s">
        <v>173</v>
      </c>
      <c r="C130" t="s">
        <v>173</v>
      </c>
      <c r="D130" t="s">
        <v>519</v>
      </c>
      <c r="E130" t="s">
        <v>253</v>
      </c>
      <c r="F130" t="s">
        <v>250</v>
      </c>
      <c r="G130" t="s">
        <v>515</v>
      </c>
      <c r="H130" s="25" t="s">
        <v>520</v>
      </c>
      <c r="I130" t="b">
        <f>COUNTIF($N$2:$N$50,"Withering Touch")&gt;0</f>
        <v>0</v>
      </c>
    </row>
    <row r="131" spans="1:9" ht="45" x14ac:dyDescent="0.25">
      <c r="A131" t="s">
        <v>511</v>
      </c>
      <c r="B131" t="s">
        <v>173</v>
      </c>
      <c r="C131" t="s">
        <v>173</v>
      </c>
      <c r="D131" t="s">
        <v>521</v>
      </c>
      <c r="E131" t="s">
        <v>253</v>
      </c>
      <c r="F131" t="s">
        <v>250</v>
      </c>
      <c r="G131" t="s">
        <v>515</v>
      </c>
      <c r="H131" s="25" t="s">
        <v>522</v>
      </c>
      <c r="I131" t="b">
        <f>COUNTIF($N$2:$N$50,"Withering Touch")&gt;0</f>
        <v>0</v>
      </c>
    </row>
    <row r="132" spans="1:9" ht="60" x14ac:dyDescent="0.25">
      <c r="A132" t="s">
        <v>511</v>
      </c>
      <c r="B132" t="s">
        <v>173</v>
      </c>
      <c r="C132" t="s">
        <v>173</v>
      </c>
      <c r="D132" t="s">
        <v>523</v>
      </c>
      <c r="E132" t="s">
        <v>253</v>
      </c>
      <c r="F132" t="s">
        <v>250</v>
      </c>
      <c r="G132" t="s">
        <v>517</v>
      </c>
      <c r="H132" s="25" t="s">
        <v>524</v>
      </c>
      <c r="I132" t="b">
        <f>COUNTIF($N$2:$N$50,"Consuming Decay")&gt;0</f>
        <v>0</v>
      </c>
    </row>
    <row r="133" spans="1:9" ht="60" x14ac:dyDescent="0.25">
      <c r="A133" t="s">
        <v>511</v>
      </c>
      <c r="B133" t="s">
        <v>173</v>
      </c>
      <c r="C133" t="s">
        <v>173</v>
      </c>
      <c r="D133" t="s">
        <v>525</v>
      </c>
      <c r="E133" t="s">
        <v>367</v>
      </c>
      <c r="F133" t="s">
        <v>314</v>
      </c>
      <c r="G133" t="s">
        <v>526</v>
      </c>
      <c r="H133" s="25" t="s">
        <v>527</v>
      </c>
      <c r="I133" t="b">
        <f>OR(COUNTIF($N$2:$N$50,"Gentle Passage")&gt;0,COUNTIF($N$2:$N$50,"Compost")&gt;0)</f>
        <v>0</v>
      </c>
    </row>
    <row r="134" spans="1:9" ht="60" x14ac:dyDescent="0.25">
      <c r="A134" t="s">
        <v>511</v>
      </c>
      <c r="B134" t="s">
        <v>173</v>
      </c>
      <c r="C134" t="s">
        <v>173</v>
      </c>
      <c r="D134" t="s">
        <v>528</v>
      </c>
      <c r="E134" t="s">
        <v>367</v>
      </c>
      <c r="F134" t="s">
        <v>314</v>
      </c>
      <c r="G134" t="s">
        <v>525</v>
      </c>
      <c r="H134" s="25" t="s">
        <v>529</v>
      </c>
      <c r="I134" t="b">
        <f>COUNTIF($N$2:$N$50,"Natural Conclusion")&gt;0</f>
        <v>0</v>
      </c>
    </row>
    <row r="135" spans="1:9" ht="60" x14ac:dyDescent="0.25">
      <c r="A135" t="s">
        <v>511</v>
      </c>
      <c r="B135" t="s">
        <v>173</v>
      </c>
      <c r="C135" t="s">
        <v>173</v>
      </c>
      <c r="D135" t="s">
        <v>530</v>
      </c>
      <c r="E135" t="s">
        <v>531</v>
      </c>
      <c r="F135" t="s">
        <v>532</v>
      </c>
      <c r="G135" t="s">
        <v>525</v>
      </c>
      <c r="H135" s="25" t="s">
        <v>533</v>
      </c>
      <c r="I135" t="b">
        <f>COUNTIF($N$2:$N$50,"Natural Conclusion")&gt;0</f>
        <v>0</v>
      </c>
    </row>
    <row r="136" spans="1:9" ht="45" x14ac:dyDescent="0.25">
      <c r="A136" t="s">
        <v>511</v>
      </c>
      <c r="B136" t="s">
        <v>173</v>
      </c>
      <c r="C136" t="s">
        <v>173</v>
      </c>
      <c r="D136" t="s">
        <v>534</v>
      </c>
      <c r="E136" t="s">
        <v>367</v>
      </c>
      <c r="F136" t="s">
        <v>314</v>
      </c>
      <c r="G136" t="s">
        <v>528</v>
      </c>
      <c r="H136" s="25" t="s">
        <v>535</v>
      </c>
      <c r="I136" t="b">
        <f>COUNTIF($N$2:$N$50,"Speak with the Fallen")&gt;0</f>
        <v>0</v>
      </c>
    </row>
    <row r="137" spans="1:9" ht="60" x14ac:dyDescent="0.25">
      <c r="A137" t="s">
        <v>511</v>
      </c>
      <c r="B137" t="s">
        <v>169</v>
      </c>
      <c r="C137" t="s">
        <v>218</v>
      </c>
      <c r="D137" t="s">
        <v>536</v>
      </c>
      <c r="E137" t="s">
        <v>220</v>
      </c>
      <c r="G137" t="s">
        <v>537</v>
      </c>
      <c r="H137" s="25" t="s">
        <v>538</v>
      </c>
      <c r="I137" t="b">
        <f>AND(IFERROR(INDEX($L$2:$L$22,MATCH("Blue",$K$2:$K$22,0)),0)&gt;=2,IFERROR(INDEX($L$2:$L$22,MATCH("Black",$K$2:$K$22,0)),0)&gt;=2)</f>
        <v>0</v>
      </c>
    </row>
    <row r="138" spans="1:9" ht="60" x14ac:dyDescent="0.25">
      <c r="A138" t="s">
        <v>511</v>
      </c>
      <c r="B138" t="s">
        <v>169</v>
      </c>
      <c r="C138" t="s">
        <v>169</v>
      </c>
      <c r="D138" t="s">
        <v>539</v>
      </c>
      <c r="E138" t="s">
        <v>253</v>
      </c>
      <c r="F138" t="s">
        <v>314</v>
      </c>
      <c r="G138" t="s">
        <v>536</v>
      </c>
      <c r="H138" s="25" t="s">
        <v>540</v>
      </c>
      <c r="I138" t="b">
        <f>COUNTIF($N$2:$N$50,"Chaos Attunement")&gt;0</f>
        <v>0</v>
      </c>
    </row>
    <row r="139" spans="1:9" ht="60" x14ac:dyDescent="0.25">
      <c r="A139" t="s">
        <v>511</v>
      </c>
      <c r="B139" t="s">
        <v>169</v>
      </c>
      <c r="C139" t="s">
        <v>169</v>
      </c>
      <c r="D139" t="s">
        <v>541</v>
      </c>
      <c r="E139" t="s">
        <v>367</v>
      </c>
      <c r="F139" t="s">
        <v>314</v>
      </c>
      <c r="G139" t="s">
        <v>536</v>
      </c>
      <c r="H139" s="25" t="s">
        <v>542</v>
      </c>
      <c r="I139" t="b">
        <f>COUNTIF($N$2:$N$50,"Chaos Attunement")&gt;0</f>
        <v>0</v>
      </c>
    </row>
    <row r="140" spans="1:9" ht="60" x14ac:dyDescent="0.25">
      <c r="A140" t="s">
        <v>511</v>
      </c>
      <c r="B140" t="s">
        <v>169</v>
      </c>
      <c r="C140" t="s">
        <v>169</v>
      </c>
      <c r="D140" t="s">
        <v>543</v>
      </c>
      <c r="E140" t="s">
        <v>253</v>
      </c>
      <c r="F140" t="s">
        <v>250</v>
      </c>
      <c r="G140" t="s">
        <v>539</v>
      </c>
      <c r="H140" s="25" t="s">
        <v>544</v>
      </c>
      <c r="I140" t="b">
        <f>COUNTIF($N$2:$N$50,"Unravel")&gt;0</f>
        <v>0</v>
      </c>
    </row>
    <row r="141" spans="1:9" ht="45" x14ac:dyDescent="0.25">
      <c r="A141" t="s">
        <v>511</v>
      </c>
      <c r="B141" t="s">
        <v>169</v>
      </c>
      <c r="C141" t="s">
        <v>169</v>
      </c>
      <c r="D141" t="s">
        <v>545</v>
      </c>
      <c r="E141" t="s">
        <v>253</v>
      </c>
      <c r="F141" t="s">
        <v>250</v>
      </c>
      <c r="G141" t="s">
        <v>539</v>
      </c>
      <c r="H141" s="25" t="s">
        <v>546</v>
      </c>
      <c r="I141" t="b">
        <f>COUNTIF($N$2:$N$50,"Unravel")&gt;0</f>
        <v>0</v>
      </c>
    </row>
    <row r="142" spans="1:9" ht="60" x14ac:dyDescent="0.25">
      <c r="A142" t="s">
        <v>511</v>
      </c>
      <c r="B142" t="s">
        <v>169</v>
      </c>
      <c r="C142" t="s">
        <v>169</v>
      </c>
      <c r="D142" t="s">
        <v>547</v>
      </c>
      <c r="E142" t="s">
        <v>367</v>
      </c>
      <c r="F142" t="s">
        <v>314</v>
      </c>
      <c r="G142" t="s">
        <v>548</v>
      </c>
      <c r="H142" s="25" t="s">
        <v>549</v>
      </c>
      <c r="I142" t="b">
        <f>OR(COUNTIF($N$2:$N$50,"Entropic Field")&gt;0,COUNTIF($N$2:$N$50,"Sever the Pattern")&gt;0)</f>
        <v>0</v>
      </c>
    </row>
    <row r="143" spans="1:9" ht="45" x14ac:dyDescent="0.25">
      <c r="A143" t="s">
        <v>511</v>
      </c>
      <c r="B143" t="s">
        <v>169</v>
      </c>
      <c r="C143" t="s">
        <v>169</v>
      </c>
      <c r="D143" t="s">
        <v>550</v>
      </c>
      <c r="E143" t="s">
        <v>253</v>
      </c>
      <c r="F143" t="s">
        <v>250</v>
      </c>
      <c r="G143" t="s">
        <v>545</v>
      </c>
      <c r="H143" s="25" t="s">
        <v>551</v>
      </c>
      <c r="I143" t="b">
        <f>COUNTIF($N$2:$N$50,"Probability Spike")&gt;0</f>
        <v>0</v>
      </c>
    </row>
    <row r="144" spans="1:9" ht="45" x14ac:dyDescent="0.25">
      <c r="A144" t="s">
        <v>511</v>
      </c>
      <c r="B144" t="s">
        <v>169</v>
      </c>
      <c r="C144" t="s">
        <v>169</v>
      </c>
      <c r="D144" t="s">
        <v>552</v>
      </c>
      <c r="E144" t="s">
        <v>367</v>
      </c>
      <c r="F144" t="s">
        <v>314</v>
      </c>
      <c r="G144" t="s">
        <v>553</v>
      </c>
      <c r="H144" s="25" t="s">
        <v>554</v>
      </c>
      <c r="I144" t="b">
        <f>OR(COUNTIF($N$2:$N$50,"Chaos Theory")&gt;0,COUNTIF($N$2:$N$50,"Madman's Insight")&gt;0)</f>
        <v>0</v>
      </c>
    </row>
    <row r="145" spans="1:9" ht="60" x14ac:dyDescent="0.25">
      <c r="A145" t="s">
        <v>511</v>
      </c>
      <c r="B145" t="s">
        <v>169</v>
      </c>
      <c r="C145" t="s">
        <v>169</v>
      </c>
      <c r="D145" t="s">
        <v>555</v>
      </c>
      <c r="E145" t="s">
        <v>367</v>
      </c>
      <c r="F145" t="s">
        <v>314</v>
      </c>
      <c r="G145" t="s">
        <v>552</v>
      </c>
      <c r="H145" s="25" t="s">
        <v>556</v>
      </c>
      <c r="I145" t="b">
        <f>COUNTIF($N$2:$N$50,"Twist Fate")&gt;0</f>
        <v>0</v>
      </c>
    </row>
    <row r="146" spans="1:9" ht="60" x14ac:dyDescent="0.25">
      <c r="A146" t="s">
        <v>511</v>
      </c>
      <c r="B146" t="s">
        <v>169</v>
      </c>
      <c r="C146" t="s">
        <v>169</v>
      </c>
      <c r="D146" t="s">
        <v>557</v>
      </c>
      <c r="E146" t="s">
        <v>367</v>
      </c>
      <c r="F146" t="s">
        <v>314</v>
      </c>
      <c r="G146" t="s">
        <v>552</v>
      </c>
      <c r="H146" s="25" t="s">
        <v>558</v>
      </c>
      <c r="I146" t="b">
        <f>COUNTIF($N$2:$N$50,"Twist Fate")&gt;0</f>
        <v>0</v>
      </c>
    </row>
    <row r="147" spans="1:9" ht="45" x14ac:dyDescent="0.25">
      <c r="A147" t="s">
        <v>511</v>
      </c>
      <c r="B147" t="s">
        <v>187</v>
      </c>
      <c r="C147" t="s">
        <v>218</v>
      </c>
      <c r="D147" t="s">
        <v>559</v>
      </c>
      <c r="E147" t="s">
        <v>220</v>
      </c>
      <c r="G147" t="s">
        <v>560</v>
      </c>
      <c r="H147" s="25" t="s">
        <v>561</v>
      </c>
      <c r="I147" t="b">
        <f>AND(IFERROR(INDEX($L$2:$L$22,MATCH("White",$K$2:$K$22,0)),0)&gt;=2,IFERROR(INDEX($L$2:$L$22,MATCH("Blue",$K$2:$K$22,0)),0)&gt;=2)</f>
        <v>0</v>
      </c>
    </row>
    <row r="148" spans="1:9" ht="60" x14ac:dyDescent="0.25">
      <c r="A148" t="s">
        <v>511</v>
      </c>
      <c r="B148" t="s">
        <v>187</v>
      </c>
      <c r="C148" t="s">
        <v>187</v>
      </c>
      <c r="D148" t="s">
        <v>562</v>
      </c>
      <c r="E148" t="s">
        <v>253</v>
      </c>
      <c r="F148" t="s">
        <v>250</v>
      </c>
      <c r="G148" t="s">
        <v>559</v>
      </c>
      <c r="H148" s="25" t="s">
        <v>563</v>
      </c>
      <c r="I148" t="b">
        <f>COUNTIF($N$2:$N$50,"Lawkeeper's Eye")&gt;0</f>
        <v>0</v>
      </c>
    </row>
    <row r="149" spans="1:9" ht="60" x14ac:dyDescent="0.25">
      <c r="A149" t="s">
        <v>511</v>
      </c>
      <c r="B149" t="s">
        <v>187</v>
      </c>
      <c r="C149" t="s">
        <v>187</v>
      </c>
      <c r="D149" t="s">
        <v>564</v>
      </c>
      <c r="E149" t="s">
        <v>235</v>
      </c>
      <c r="G149" t="s">
        <v>562</v>
      </c>
      <c r="H149" s="25" t="s">
        <v>565</v>
      </c>
      <c r="I149" t="b">
        <f>COUNTIF($N$2:$N$50,"Binding Clause")&gt;0</f>
        <v>0</v>
      </c>
    </row>
    <row r="150" spans="1:9" ht="60" x14ac:dyDescent="0.25">
      <c r="A150" t="s">
        <v>511</v>
      </c>
      <c r="B150" t="s">
        <v>187</v>
      </c>
      <c r="C150" t="s">
        <v>187</v>
      </c>
      <c r="D150" t="s">
        <v>566</v>
      </c>
      <c r="E150" t="s">
        <v>351</v>
      </c>
      <c r="G150" t="s">
        <v>562</v>
      </c>
      <c r="H150" s="25" t="s">
        <v>567</v>
      </c>
      <c r="I150" t="b">
        <f>COUNTIF($N$2:$N$50,"Binding Clause")&gt;0</f>
        <v>0</v>
      </c>
    </row>
    <row r="151" spans="1:9" ht="60" x14ac:dyDescent="0.25">
      <c r="A151" t="s">
        <v>511</v>
      </c>
      <c r="B151" t="s">
        <v>187</v>
      </c>
      <c r="C151" t="s">
        <v>187</v>
      </c>
      <c r="D151" t="s">
        <v>568</v>
      </c>
      <c r="E151" t="s">
        <v>253</v>
      </c>
      <c r="F151" t="s">
        <v>250</v>
      </c>
      <c r="G151" t="s">
        <v>569</v>
      </c>
      <c r="H151" s="25" t="s">
        <v>570</v>
      </c>
      <c r="I151" t="b">
        <f>OR(COUNTIF($N$2:$N$50,"Contempt of Court")&gt;0,COUNTIF($N$2:$N$50,"Legal Precedent")&gt;0)</f>
        <v>0</v>
      </c>
    </row>
    <row r="152" spans="1:9" ht="45" x14ac:dyDescent="0.25">
      <c r="A152" t="s">
        <v>511</v>
      </c>
      <c r="B152" t="s">
        <v>187</v>
      </c>
      <c r="C152" t="s">
        <v>187</v>
      </c>
      <c r="D152" t="s">
        <v>571</v>
      </c>
      <c r="E152" t="s">
        <v>367</v>
      </c>
      <c r="F152" t="s">
        <v>314</v>
      </c>
      <c r="G152" t="s">
        <v>568</v>
      </c>
      <c r="H152" s="25" t="s">
        <v>572</v>
      </c>
      <c r="I152" t="b">
        <f>COUNTIF($N$2:$N$50,"Chain of Command")&gt;0</f>
        <v>0</v>
      </c>
    </row>
    <row r="153" spans="1:9" ht="45" x14ac:dyDescent="0.25">
      <c r="A153" t="s">
        <v>511</v>
      </c>
      <c r="B153" t="s">
        <v>187</v>
      </c>
      <c r="C153" t="s">
        <v>187</v>
      </c>
      <c r="D153" t="s">
        <v>573</v>
      </c>
      <c r="E153" t="s">
        <v>235</v>
      </c>
      <c r="G153" t="s">
        <v>568</v>
      </c>
      <c r="H153" s="25" t="s">
        <v>574</v>
      </c>
      <c r="I153" t="b">
        <f>COUNTIF($N$2:$N$50,"Chain of Command")&gt;0</f>
        <v>0</v>
      </c>
    </row>
    <row r="154" spans="1:9" ht="60" x14ac:dyDescent="0.25">
      <c r="A154" t="s">
        <v>511</v>
      </c>
      <c r="B154" t="s">
        <v>187</v>
      </c>
      <c r="C154" t="s">
        <v>187</v>
      </c>
      <c r="D154" t="s">
        <v>575</v>
      </c>
      <c r="E154" t="s">
        <v>367</v>
      </c>
      <c r="F154" t="s">
        <v>314</v>
      </c>
      <c r="G154" t="s">
        <v>576</v>
      </c>
      <c r="H154" s="25" t="s">
        <v>577</v>
      </c>
      <c r="I154" t="b">
        <f>OR(COUNTIF($N$2:$N$50,"Institutional Authority")&gt;0,COUNTIF($N$2:$N$50,"Collective Discipline")&gt;0)</f>
        <v>0</v>
      </c>
    </row>
    <row r="155" spans="1:9" ht="60" x14ac:dyDescent="0.25">
      <c r="A155" t="s">
        <v>511</v>
      </c>
      <c r="B155" t="s">
        <v>187</v>
      </c>
      <c r="C155" t="s">
        <v>187</v>
      </c>
      <c r="D155" t="s">
        <v>578</v>
      </c>
      <c r="E155" t="s">
        <v>531</v>
      </c>
      <c r="F155" t="s">
        <v>579</v>
      </c>
      <c r="G155" t="s">
        <v>575</v>
      </c>
      <c r="H155" s="25" t="s">
        <v>580</v>
      </c>
      <c r="I155" t="b">
        <f>COUNTIF($N$2:$N$50,"Sacred Oath")&gt;0</f>
        <v>0</v>
      </c>
    </row>
    <row r="156" spans="1:9" ht="60" x14ac:dyDescent="0.25">
      <c r="A156" t="s">
        <v>511</v>
      </c>
      <c r="B156" t="s">
        <v>187</v>
      </c>
      <c r="C156" t="s">
        <v>187</v>
      </c>
      <c r="D156" t="s">
        <v>581</v>
      </c>
      <c r="E156" t="s">
        <v>367</v>
      </c>
      <c r="F156" t="s">
        <v>314</v>
      </c>
      <c r="G156" t="s">
        <v>575</v>
      </c>
      <c r="H156" s="25" t="s">
        <v>582</v>
      </c>
      <c r="I156" t="b">
        <f>COUNTIF($N$2:$N$50,"Sacred Oath")&gt;0</f>
        <v>0</v>
      </c>
    </row>
    <row r="157" spans="1:9" ht="45" x14ac:dyDescent="0.25">
      <c r="A157" t="s">
        <v>511</v>
      </c>
      <c r="B157" t="s">
        <v>185</v>
      </c>
      <c r="C157" t="s">
        <v>218</v>
      </c>
      <c r="D157" t="s">
        <v>583</v>
      </c>
      <c r="E157" t="s">
        <v>220</v>
      </c>
      <c r="G157" t="s">
        <v>584</v>
      </c>
      <c r="H157" s="25" t="s">
        <v>585</v>
      </c>
      <c r="I157" t="b">
        <f>AND(IFERROR(INDEX($L$2:$L$22,MATCH("Green",$K$2:$K$22,0)),0)&gt;=2,IFERROR(INDEX($L$2:$L$22,MATCH("Blue",$K$2:$K$22,0)),0)&gt;=2)</f>
        <v>0</v>
      </c>
    </row>
    <row r="158" spans="1:9" ht="45" x14ac:dyDescent="0.25">
      <c r="A158" t="s">
        <v>511</v>
      </c>
      <c r="B158" t="s">
        <v>185</v>
      </c>
      <c r="C158" t="s">
        <v>185</v>
      </c>
      <c r="D158" t="s">
        <v>586</v>
      </c>
      <c r="E158" t="s">
        <v>253</v>
      </c>
      <c r="F158" t="s">
        <v>250</v>
      </c>
      <c r="G158" t="s">
        <v>583</v>
      </c>
      <c r="H158" s="25" t="s">
        <v>587</v>
      </c>
      <c r="I158" t="b">
        <f>COUNTIF($N$2:$N$50,"Pulse of Life")&gt;0</f>
        <v>0</v>
      </c>
    </row>
    <row r="159" spans="1:9" ht="60" x14ac:dyDescent="0.25">
      <c r="A159" t="s">
        <v>511</v>
      </c>
      <c r="B159" t="s">
        <v>185</v>
      </c>
      <c r="C159" t="s">
        <v>185</v>
      </c>
      <c r="D159" t="s">
        <v>588</v>
      </c>
      <c r="E159" t="s">
        <v>253</v>
      </c>
      <c r="F159" t="s">
        <v>250</v>
      </c>
      <c r="G159" t="s">
        <v>583</v>
      </c>
      <c r="H159" s="25" t="s">
        <v>589</v>
      </c>
      <c r="I159" t="b">
        <f>COUNTIF($N$2:$N$50,"Pulse of Life")&gt;0</f>
        <v>0</v>
      </c>
    </row>
    <row r="160" spans="1:9" ht="45" x14ac:dyDescent="0.25">
      <c r="A160" t="s">
        <v>511</v>
      </c>
      <c r="B160" t="s">
        <v>185</v>
      </c>
      <c r="C160" t="s">
        <v>185</v>
      </c>
      <c r="D160" t="s">
        <v>590</v>
      </c>
      <c r="E160" t="s">
        <v>253</v>
      </c>
      <c r="F160" t="s">
        <v>250</v>
      </c>
      <c r="G160" t="s">
        <v>591</v>
      </c>
      <c r="H160" s="25" t="s">
        <v>592</v>
      </c>
      <c r="I160" t="b">
        <f>OR(COUNTIF($N$2:$N$50,"Surgical Precision")&gt;0,COUNTIF($N$2:$N$50,"Vital Diagram")&gt;0)</f>
        <v>0</v>
      </c>
    </row>
    <row r="161" spans="1:9" ht="45" x14ac:dyDescent="0.25">
      <c r="A161" t="s">
        <v>511</v>
      </c>
      <c r="B161" t="s">
        <v>185</v>
      </c>
      <c r="C161" t="s">
        <v>185</v>
      </c>
      <c r="D161" t="s">
        <v>593</v>
      </c>
      <c r="E161" t="s">
        <v>367</v>
      </c>
      <c r="F161" t="s">
        <v>314</v>
      </c>
      <c r="G161" t="s">
        <v>590</v>
      </c>
      <c r="H161" s="25" t="s">
        <v>594</v>
      </c>
      <c r="I161" t="b">
        <f>COUNTIF($N$2:$N$50,"Overgrowth")&gt;0</f>
        <v>0</v>
      </c>
    </row>
    <row r="162" spans="1:9" ht="90" x14ac:dyDescent="0.25">
      <c r="A162" t="s">
        <v>511</v>
      </c>
      <c r="B162" t="s">
        <v>185</v>
      </c>
      <c r="C162" t="s">
        <v>185</v>
      </c>
      <c r="D162" t="s">
        <v>595</v>
      </c>
      <c r="E162" t="s">
        <v>253</v>
      </c>
      <c r="F162" t="s">
        <v>314</v>
      </c>
      <c r="G162" t="s">
        <v>590</v>
      </c>
      <c r="H162" s="25" t="s">
        <v>596</v>
      </c>
      <c r="I162" t="b">
        <f>COUNTIF($N$2:$N$50,"Overgrowth")&gt;0</f>
        <v>0</v>
      </c>
    </row>
    <row r="163" spans="1:9" ht="45" x14ac:dyDescent="0.25">
      <c r="A163" t="s">
        <v>511</v>
      </c>
      <c r="B163" t="s">
        <v>185</v>
      </c>
      <c r="C163" t="s">
        <v>185</v>
      </c>
      <c r="D163" t="s">
        <v>597</v>
      </c>
      <c r="E163" t="s">
        <v>367</v>
      </c>
      <c r="F163" t="s">
        <v>314</v>
      </c>
      <c r="G163" t="s">
        <v>598</v>
      </c>
      <c r="H163" s="25" t="s">
        <v>599</v>
      </c>
      <c r="I163" t="b">
        <f>OR(COUNTIF($N$2:$N$50,"Immunological Purge")&gt;0,COUNTIF($N$2:$N$50,"Adaptive Mutation")&gt;0)</f>
        <v>0</v>
      </c>
    </row>
    <row r="164" spans="1:9" ht="60" x14ac:dyDescent="0.25">
      <c r="A164" t="s">
        <v>511</v>
      </c>
      <c r="B164" t="s">
        <v>185</v>
      </c>
      <c r="C164" t="s">
        <v>185</v>
      </c>
      <c r="D164" t="s">
        <v>600</v>
      </c>
      <c r="E164" t="s">
        <v>367</v>
      </c>
      <c r="F164" t="s">
        <v>314</v>
      </c>
      <c r="G164" t="s">
        <v>597</v>
      </c>
      <c r="H164" s="25" t="s">
        <v>601</v>
      </c>
      <c r="I164" t="b">
        <f>COUNTIF($N$2:$N$50,"Primal Regeneration")&gt;0</f>
        <v>0</v>
      </c>
    </row>
    <row r="165" spans="1:9" ht="90" x14ac:dyDescent="0.25">
      <c r="A165" t="s">
        <v>511</v>
      </c>
      <c r="B165" t="s">
        <v>185</v>
      </c>
      <c r="C165" t="s">
        <v>185</v>
      </c>
      <c r="D165" t="s">
        <v>602</v>
      </c>
      <c r="E165" t="s">
        <v>531</v>
      </c>
      <c r="F165" t="s">
        <v>579</v>
      </c>
      <c r="G165" t="s">
        <v>600</v>
      </c>
      <c r="H165" s="25" t="s">
        <v>603</v>
      </c>
      <c r="I165" t="b">
        <f>COUNTIF($N$2:$N$50,"Forced Evolution")&gt;0</f>
        <v>0</v>
      </c>
    </row>
    <row r="166" spans="1:9" ht="60" x14ac:dyDescent="0.25">
      <c r="A166" t="s">
        <v>511</v>
      </c>
      <c r="B166" t="s">
        <v>185</v>
      </c>
      <c r="C166" t="s">
        <v>185</v>
      </c>
      <c r="D166" t="s">
        <v>604</v>
      </c>
      <c r="E166" t="s">
        <v>253</v>
      </c>
      <c r="F166" t="s">
        <v>250</v>
      </c>
      <c r="G166" t="s">
        <v>597</v>
      </c>
      <c r="H166" s="25" t="s">
        <v>605</v>
      </c>
      <c r="I166" t="b">
        <f>COUNTIF($N$2:$N$50,"Primal Regeneration")&gt;0</f>
        <v>0</v>
      </c>
    </row>
    <row r="167" spans="1:9" ht="75" x14ac:dyDescent="0.25">
      <c r="A167" t="s">
        <v>511</v>
      </c>
      <c r="B167" t="s">
        <v>195</v>
      </c>
      <c r="C167" t="s">
        <v>218</v>
      </c>
      <c r="D167" t="s">
        <v>606</v>
      </c>
      <c r="E167" t="s">
        <v>220</v>
      </c>
      <c r="G167" t="s">
        <v>607</v>
      </c>
      <c r="H167" s="25" t="s">
        <v>1108</v>
      </c>
      <c r="I167" t="b">
        <f>AND(IFERROR(INDEX($L$2:$L$22,MATCH("Black",$K$2:$K$22,0)),0)&gt;=2,IFERROR(INDEX($L$2:$L$22,MATCH("White",$K$2:$K$22,0)),0)&gt;=2)</f>
        <v>0</v>
      </c>
    </row>
    <row r="168" spans="1:9" ht="75" x14ac:dyDescent="0.25">
      <c r="A168" t="s">
        <v>511</v>
      </c>
      <c r="B168" t="s">
        <v>195</v>
      </c>
      <c r="C168" t="s">
        <v>195</v>
      </c>
      <c r="D168" t="s">
        <v>608</v>
      </c>
      <c r="E168" t="s">
        <v>253</v>
      </c>
      <c r="F168" t="s">
        <v>250</v>
      </c>
      <c r="G168" t="s">
        <v>606</v>
      </c>
      <c r="H168" s="25" t="s">
        <v>609</v>
      </c>
      <c r="I168" t="b">
        <f>COUNTIF($N$2:$N$50,"Sovereign's Mandate")&gt;0</f>
        <v>0</v>
      </c>
    </row>
    <row r="169" spans="1:9" ht="45" x14ac:dyDescent="0.25">
      <c r="A169" t="s">
        <v>511</v>
      </c>
      <c r="B169" t="s">
        <v>195</v>
      </c>
      <c r="C169" t="s">
        <v>195</v>
      </c>
      <c r="D169" t="s">
        <v>610</v>
      </c>
      <c r="E169" t="s">
        <v>253</v>
      </c>
      <c r="F169" t="s">
        <v>250</v>
      </c>
      <c r="G169" t="s">
        <v>606</v>
      </c>
      <c r="H169" s="25" t="s">
        <v>1107</v>
      </c>
      <c r="I169" t="b">
        <f>COUNTIF($N$2:$N$50,"Sovereign's Mandate")&gt;0</f>
        <v>0</v>
      </c>
    </row>
    <row r="170" spans="1:9" ht="75" x14ac:dyDescent="0.25">
      <c r="A170" t="s">
        <v>511</v>
      </c>
      <c r="B170" t="s">
        <v>195</v>
      </c>
      <c r="C170" t="s">
        <v>195</v>
      </c>
      <c r="D170" t="s">
        <v>611</v>
      </c>
      <c r="E170" t="s">
        <v>253</v>
      </c>
      <c r="F170" t="s">
        <v>250</v>
      </c>
      <c r="G170" t="s">
        <v>612</v>
      </c>
      <c r="H170" s="25" t="s">
        <v>613</v>
      </c>
      <c r="I170" t="b">
        <f>OR(COUNTIF($N$2:$N$50,"Sovereign's Awareness")&gt;0,COUNTIF($N$2:$N$50,"Blight")&gt;0)</f>
        <v>0</v>
      </c>
    </row>
    <row r="171" spans="1:9" ht="30" x14ac:dyDescent="0.25">
      <c r="A171" t="s">
        <v>511</v>
      </c>
      <c r="B171" t="s">
        <v>195</v>
      </c>
      <c r="C171" t="s">
        <v>195</v>
      </c>
      <c r="D171" t="s">
        <v>1110</v>
      </c>
      <c r="E171" t="s">
        <v>253</v>
      </c>
      <c r="F171" t="s">
        <v>250</v>
      </c>
      <c r="G171" t="s">
        <v>611</v>
      </c>
      <c r="H171" s="25" t="s">
        <v>1111</v>
      </c>
      <c r="I171" t="b">
        <f>COUNTIF($N$2:$N$50,"Edict of Decline")&gt;0</f>
        <v>0</v>
      </c>
    </row>
    <row r="172" spans="1:9" ht="90" x14ac:dyDescent="0.25">
      <c r="A172" t="s">
        <v>511</v>
      </c>
      <c r="B172" t="s">
        <v>195</v>
      </c>
      <c r="C172" t="s">
        <v>195</v>
      </c>
      <c r="D172" t="s">
        <v>614</v>
      </c>
      <c r="E172" t="s">
        <v>367</v>
      </c>
      <c r="F172" t="s">
        <v>314</v>
      </c>
      <c r="G172" t="s">
        <v>611</v>
      </c>
      <c r="H172" s="25" t="s">
        <v>1112</v>
      </c>
      <c r="I172" t="b">
        <f>COUNTIF($N$2:$N$50,"Edict of Decline")&gt;0</f>
        <v>0</v>
      </c>
    </row>
    <row r="173" spans="1:9" ht="60" x14ac:dyDescent="0.25">
      <c r="A173" t="s">
        <v>511</v>
      </c>
      <c r="B173" t="s">
        <v>195</v>
      </c>
      <c r="C173" t="s">
        <v>195</v>
      </c>
      <c r="D173" t="s">
        <v>615</v>
      </c>
      <c r="E173" t="s">
        <v>253</v>
      </c>
      <c r="F173" t="s">
        <v>250</v>
      </c>
      <c r="G173" t="s">
        <v>1109</v>
      </c>
      <c r="H173" s="25" t="s">
        <v>616</v>
      </c>
      <c r="I173" t="b">
        <f>OR(COUNTIF($N$2:$N$50,"Boon")&gt;0,COUNTIF($N$2:$N$50,"Decree")&gt;0)</f>
        <v>0</v>
      </c>
    </row>
    <row r="174" spans="1:9" ht="30" x14ac:dyDescent="0.25">
      <c r="A174" t="s">
        <v>511</v>
      </c>
      <c r="B174" t="s">
        <v>195</v>
      </c>
      <c r="C174" t="s">
        <v>195</v>
      </c>
      <c r="D174" t="s">
        <v>617</v>
      </c>
      <c r="E174" t="s">
        <v>367</v>
      </c>
      <c r="F174" t="s">
        <v>314</v>
      </c>
      <c r="G174" t="s">
        <v>615</v>
      </c>
      <c r="H174" s="25" t="s">
        <v>618</v>
      </c>
      <c r="I174" t="b">
        <f>COUNTIF($N$2:$N$50,"Equilibrium")&gt;0</f>
        <v>0</v>
      </c>
    </row>
    <row r="175" spans="1:9" ht="75" x14ac:dyDescent="0.25">
      <c r="A175" t="s">
        <v>511</v>
      </c>
      <c r="B175" t="s">
        <v>195</v>
      </c>
      <c r="C175" t="s">
        <v>195</v>
      </c>
      <c r="D175" t="s">
        <v>619</v>
      </c>
      <c r="E175" t="s">
        <v>367</v>
      </c>
      <c r="F175" t="s">
        <v>314</v>
      </c>
      <c r="G175" t="s">
        <v>615</v>
      </c>
      <c r="H175" s="25" t="s">
        <v>620</v>
      </c>
      <c r="I175" t="b">
        <f>COUNTIF($N$2:$N$50,"Equilibrium")&gt;0</f>
        <v>0</v>
      </c>
    </row>
    <row r="176" spans="1:9" ht="60" x14ac:dyDescent="0.25">
      <c r="A176" t="s">
        <v>511</v>
      </c>
      <c r="B176" t="s">
        <v>195</v>
      </c>
      <c r="C176" t="s">
        <v>195</v>
      </c>
      <c r="D176" t="s">
        <v>621</v>
      </c>
      <c r="E176" t="s">
        <v>531</v>
      </c>
      <c r="F176" t="s">
        <v>579</v>
      </c>
      <c r="G176" t="s">
        <v>622</v>
      </c>
      <c r="H176" s="25" t="s">
        <v>1113</v>
      </c>
      <c r="I176" t="b">
        <f>OR(COUNTIF($N$2:$N$50,"Sovereign's Investiture")&gt;0,COUNTIF($N$2:$N$50,"Seal of Exile")&gt;0)</f>
        <v>0</v>
      </c>
    </row>
    <row r="177" spans="1:9" ht="60" x14ac:dyDescent="0.25">
      <c r="A177" t="s">
        <v>511</v>
      </c>
      <c r="B177" t="s">
        <v>183</v>
      </c>
      <c r="C177" t="s">
        <v>218</v>
      </c>
      <c r="D177" t="s">
        <v>1106</v>
      </c>
      <c r="E177" t="s">
        <v>220</v>
      </c>
      <c r="G177" t="s">
        <v>623</v>
      </c>
      <c r="H177" s="25" t="s">
        <v>624</v>
      </c>
      <c r="I177" t="b">
        <f>AND(IFERROR(INDEX($L$2:$L$22,MATCH("Red",$K$2:$K$22,0)),0)&gt;=2,IFERROR(INDEX($L$2:$L$22,MATCH("Green",$K$2:$K$22,0)),0)&gt;=2)</f>
        <v>0</v>
      </c>
    </row>
    <row r="178" spans="1:9" ht="60" x14ac:dyDescent="0.25">
      <c r="A178" t="s">
        <v>511</v>
      </c>
      <c r="B178" t="s">
        <v>183</v>
      </c>
      <c r="C178" t="s">
        <v>183</v>
      </c>
      <c r="D178" t="s">
        <v>625</v>
      </c>
      <c r="E178" t="s">
        <v>253</v>
      </c>
      <c r="F178" t="s">
        <v>250</v>
      </c>
      <c r="G178" t="s">
        <v>1106</v>
      </c>
      <c r="H178" s="25" t="s">
        <v>626</v>
      </c>
      <c r="I178" t="b">
        <f>COUNTIF($N$2:$N$50,"Beginner's Luck")&gt;0</f>
        <v>0</v>
      </c>
    </row>
    <row r="179" spans="1:9" ht="60" x14ac:dyDescent="0.25">
      <c r="A179" t="s">
        <v>511</v>
      </c>
      <c r="B179" t="s">
        <v>183</v>
      </c>
      <c r="C179" t="s">
        <v>183</v>
      </c>
      <c r="D179" t="s">
        <v>627</v>
      </c>
      <c r="E179" t="s">
        <v>253</v>
      </c>
      <c r="F179" t="s">
        <v>250</v>
      </c>
      <c r="G179" t="s">
        <v>625</v>
      </c>
      <c r="H179" s="25" t="s">
        <v>628</v>
      </c>
      <c r="I179" t="b">
        <f>COUNTIF($N$2:$N$50,"Pattern Recognition")&gt;0</f>
        <v>0</v>
      </c>
    </row>
    <row r="180" spans="1:9" ht="45" x14ac:dyDescent="0.25">
      <c r="A180" t="s">
        <v>511</v>
      </c>
      <c r="B180" t="s">
        <v>183</v>
      </c>
      <c r="C180" t="s">
        <v>183</v>
      </c>
      <c r="D180" t="s">
        <v>629</v>
      </c>
      <c r="E180" t="s">
        <v>253</v>
      </c>
      <c r="F180" t="s">
        <v>250</v>
      </c>
      <c r="G180" t="s">
        <v>1106</v>
      </c>
      <c r="H180" s="25" t="s">
        <v>630</v>
      </c>
      <c r="I180" t="b">
        <f>COUNTIF($N$2:$N$50,"Beginner's Luck")&gt;0</f>
        <v>0</v>
      </c>
    </row>
    <row r="181" spans="1:9" ht="45" x14ac:dyDescent="0.25">
      <c r="A181" t="s">
        <v>511</v>
      </c>
      <c r="B181" t="s">
        <v>183</v>
      </c>
      <c r="C181" t="s">
        <v>183</v>
      </c>
      <c r="D181" t="s">
        <v>631</v>
      </c>
      <c r="E181" t="s">
        <v>253</v>
      </c>
      <c r="F181" t="s">
        <v>250</v>
      </c>
      <c r="G181" t="s">
        <v>632</v>
      </c>
      <c r="H181" s="25" t="s">
        <v>633</v>
      </c>
      <c r="I181" t="b">
        <f>OR(COUNTIF($N$2:$N$50,"Environmental Reading")&gt;0,COUNTIF($N$2:$N$50,"Pattern Recognition")&gt;0)</f>
        <v>0</v>
      </c>
    </row>
    <row r="182" spans="1:9" ht="30" x14ac:dyDescent="0.25">
      <c r="A182" t="s">
        <v>511</v>
      </c>
      <c r="B182" t="s">
        <v>183</v>
      </c>
      <c r="C182" t="s">
        <v>183</v>
      </c>
      <c r="D182" t="s">
        <v>634</v>
      </c>
      <c r="E182" t="s">
        <v>220</v>
      </c>
      <c r="G182" t="s">
        <v>631</v>
      </c>
      <c r="H182" s="25" t="s">
        <v>635</v>
      </c>
      <c r="I182" t="b">
        <f>COUNTIF($N$2:$N$50,"Reckless Experiment")&gt;0</f>
        <v>0</v>
      </c>
    </row>
    <row r="183" spans="1:9" ht="60" x14ac:dyDescent="0.25">
      <c r="A183" t="s">
        <v>511</v>
      </c>
      <c r="B183" t="s">
        <v>183</v>
      </c>
      <c r="C183" t="s">
        <v>183</v>
      </c>
      <c r="D183" t="s">
        <v>636</v>
      </c>
      <c r="E183" t="s">
        <v>367</v>
      </c>
      <c r="G183" t="s">
        <v>631</v>
      </c>
      <c r="H183" s="25" t="s">
        <v>637</v>
      </c>
      <c r="I183" t="b">
        <f>COUNTIF($N$2:$N$50,"Reckless Experiment")&gt;0</f>
        <v>0</v>
      </c>
    </row>
    <row r="184" spans="1:9" ht="60" x14ac:dyDescent="0.25">
      <c r="A184" t="s">
        <v>511</v>
      </c>
      <c r="B184" t="s">
        <v>183</v>
      </c>
      <c r="C184" t="s">
        <v>183</v>
      </c>
      <c r="D184" t="s">
        <v>638</v>
      </c>
      <c r="E184" t="s">
        <v>367</v>
      </c>
      <c r="F184" t="s">
        <v>314</v>
      </c>
      <c r="G184" t="s">
        <v>639</v>
      </c>
      <c r="H184" s="25" t="s">
        <v>640</v>
      </c>
      <c r="I184" t="b">
        <f>OR(COUNTIF($N$2:$N$50,"Passionate Breakthrough")&gt;0,COUNTIF($N$2:$N$50,"Trial and Error")&gt;0)</f>
        <v>0</v>
      </c>
    </row>
    <row r="185" spans="1:9" ht="45" x14ac:dyDescent="0.25">
      <c r="A185" t="s">
        <v>511</v>
      </c>
      <c r="B185" t="s">
        <v>183</v>
      </c>
      <c r="C185" t="s">
        <v>183</v>
      </c>
      <c r="D185" t="s">
        <v>641</v>
      </c>
      <c r="E185" t="s">
        <v>531</v>
      </c>
      <c r="F185" t="s">
        <v>579</v>
      </c>
      <c r="G185" t="s">
        <v>638</v>
      </c>
      <c r="H185" s="25" t="s">
        <v>642</v>
      </c>
      <c r="I185" t="b">
        <f>COUNTIF($N$2:$N$50,"Shared Revelation")&gt;0</f>
        <v>0</v>
      </c>
    </row>
    <row r="186" spans="1:9" ht="60" x14ac:dyDescent="0.25">
      <c r="A186" t="s">
        <v>511</v>
      </c>
      <c r="B186" t="s">
        <v>183</v>
      </c>
      <c r="C186" t="s">
        <v>183</v>
      </c>
      <c r="D186" t="s">
        <v>643</v>
      </c>
      <c r="E186" t="s">
        <v>367</v>
      </c>
      <c r="F186" t="s">
        <v>314</v>
      </c>
      <c r="G186" t="s">
        <v>638</v>
      </c>
      <c r="H186" s="25" t="s">
        <v>644</v>
      </c>
      <c r="I186" t="b">
        <f>COUNTIF($N$2:$N$50,"Shared Revelation")&gt;0</f>
        <v>0</v>
      </c>
    </row>
    <row r="187" spans="1:9" ht="45" x14ac:dyDescent="0.25">
      <c r="A187" t="s">
        <v>511</v>
      </c>
      <c r="B187" t="s">
        <v>178</v>
      </c>
      <c r="C187" t="s">
        <v>218</v>
      </c>
      <c r="D187" t="s">
        <v>645</v>
      </c>
      <c r="E187" t="s">
        <v>220</v>
      </c>
      <c r="G187" t="s">
        <v>646</v>
      </c>
      <c r="H187" s="25" t="s">
        <v>647</v>
      </c>
      <c r="I187" t="b">
        <f>AND(IFERROR(INDEX($L$2:$L$22,MATCH("White",$K$2:$K$22,0)),0)&gt;=2,IFERROR(INDEX($L$2:$L$22,MATCH("Green",$K$2:$K$22,0)),0)&gt;=2)</f>
        <v>0</v>
      </c>
    </row>
    <row r="188" spans="1:9" ht="45" x14ac:dyDescent="0.25">
      <c r="A188" t="s">
        <v>511</v>
      </c>
      <c r="B188" t="s">
        <v>178</v>
      </c>
      <c r="C188" t="s">
        <v>178</v>
      </c>
      <c r="D188" t="s">
        <v>648</v>
      </c>
      <c r="E188" t="s">
        <v>253</v>
      </c>
      <c r="F188" t="s">
        <v>250</v>
      </c>
      <c r="G188" t="s">
        <v>645</v>
      </c>
      <c r="H188" s="25" t="s">
        <v>649</v>
      </c>
      <c r="I188" t="b">
        <f>COUNTIF($N$2:$N$50,"Thread Sight")&gt;0</f>
        <v>0</v>
      </c>
    </row>
    <row r="189" spans="1:9" ht="45" x14ac:dyDescent="0.25">
      <c r="A189" t="s">
        <v>511</v>
      </c>
      <c r="B189" t="s">
        <v>178</v>
      </c>
      <c r="C189" t="s">
        <v>178</v>
      </c>
      <c r="D189" t="s">
        <v>650</v>
      </c>
      <c r="E189" t="s">
        <v>253</v>
      </c>
      <c r="F189" t="s">
        <v>236</v>
      </c>
      <c r="G189" t="s">
        <v>648</v>
      </c>
      <c r="H189" s="25" t="s">
        <v>651</v>
      </c>
      <c r="I189" t="b">
        <f>COUNTIF($N$2:$N$50,"Read the Threads")&gt;0</f>
        <v>0</v>
      </c>
    </row>
    <row r="190" spans="1:9" ht="45" x14ac:dyDescent="0.25">
      <c r="A190" t="s">
        <v>511</v>
      </c>
      <c r="B190" t="s">
        <v>178</v>
      </c>
      <c r="C190" t="s">
        <v>178</v>
      </c>
      <c r="D190" t="s">
        <v>652</v>
      </c>
      <c r="E190" t="s">
        <v>220</v>
      </c>
      <c r="F190" t="s">
        <v>250</v>
      </c>
      <c r="G190" t="s">
        <v>648</v>
      </c>
      <c r="H190" s="25" t="s">
        <v>653</v>
      </c>
      <c r="I190" t="b">
        <f>COUNTIF($N$2:$N$50,"Read the Threads")&gt;0</f>
        <v>0</v>
      </c>
    </row>
    <row r="191" spans="1:9" ht="45" x14ac:dyDescent="0.25">
      <c r="A191" t="s">
        <v>511</v>
      </c>
      <c r="B191" t="s">
        <v>178</v>
      </c>
      <c r="C191" t="s">
        <v>178</v>
      </c>
      <c r="D191" t="s">
        <v>654</v>
      </c>
      <c r="E191" t="s">
        <v>253</v>
      </c>
      <c r="F191" t="s">
        <v>250</v>
      </c>
      <c r="G191" t="s">
        <v>655</v>
      </c>
      <c r="H191" s="25" t="s">
        <v>656</v>
      </c>
      <c r="I191" t="b">
        <f>OR(COUNTIF($N$2:$N$50,"Inevitable Outcome")&gt;0,COUNTIF($N$2:$N$50,"Prescient Dodge")&gt;0)</f>
        <v>0</v>
      </c>
    </row>
    <row r="192" spans="1:9" ht="45" x14ac:dyDescent="0.25">
      <c r="A192" t="s">
        <v>511</v>
      </c>
      <c r="B192" t="s">
        <v>178</v>
      </c>
      <c r="C192" t="s">
        <v>178</v>
      </c>
      <c r="D192" t="s">
        <v>657</v>
      </c>
      <c r="E192" t="s">
        <v>253</v>
      </c>
      <c r="F192" t="s">
        <v>250</v>
      </c>
      <c r="G192" t="s">
        <v>654</v>
      </c>
      <c r="H192" s="25" t="s">
        <v>658</v>
      </c>
      <c r="I192" t="b">
        <f>COUNTIF($N$2:$N$50,"Prophecy of Order")&gt;0</f>
        <v>0</v>
      </c>
    </row>
    <row r="193" spans="1:9" ht="45" x14ac:dyDescent="0.25">
      <c r="A193" t="s">
        <v>511</v>
      </c>
      <c r="B193" t="s">
        <v>178</v>
      </c>
      <c r="C193" t="s">
        <v>178</v>
      </c>
      <c r="D193" t="s">
        <v>659</v>
      </c>
      <c r="E193" t="s">
        <v>253</v>
      </c>
      <c r="F193" t="s">
        <v>250</v>
      </c>
      <c r="G193" t="s">
        <v>654</v>
      </c>
      <c r="H193" s="25" t="s">
        <v>660</v>
      </c>
      <c r="I193" t="b">
        <f>COUNTIF($N$2:$N$50,"Prophecy of Order")&gt;0</f>
        <v>0</v>
      </c>
    </row>
    <row r="194" spans="1:9" ht="45" x14ac:dyDescent="0.25">
      <c r="A194" t="s">
        <v>511</v>
      </c>
      <c r="B194" t="s">
        <v>178</v>
      </c>
      <c r="C194" t="s">
        <v>178</v>
      </c>
      <c r="D194" t="s">
        <v>661</v>
      </c>
      <c r="E194" t="s">
        <v>367</v>
      </c>
      <c r="F194" t="s">
        <v>314</v>
      </c>
      <c r="G194" t="s">
        <v>662</v>
      </c>
      <c r="H194" s="25" t="s">
        <v>663</v>
      </c>
      <c r="I194" t="b">
        <f>OR(COUNTIF($N$2:$N$50,"Ordained Formation")&gt;0,COUNTIF($N$2:$N$50,"Fate's Shield")&gt;0)</f>
        <v>0</v>
      </c>
    </row>
    <row r="195" spans="1:9" ht="45" x14ac:dyDescent="0.25">
      <c r="A195" t="s">
        <v>511</v>
      </c>
      <c r="B195" t="s">
        <v>178</v>
      </c>
      <c r="C195" t="s">
        <v>178</v>
      </c>
      <c r="D195" t="s">
        <v>664</v>
      </c>
      <c r="E195" t="s">
        <v>531</v>
      </c>
      <c r="F195" t="s">
        <v>579</v>
      </c>
      <c r="G195" t="s">
        <v>661</v>
      </c>
      <c r="H195" s="25" t="s">
        <v>665</v>
      </c>
      <c r="I195" t="b">
        <f>COUNTIF($N$2:$N$50,"Weave the Thread")&gt;0</f>
        <v>0</v>
      </c>
    </row>
    <row r="196" spans="1:9" ht="60" x14ac:dyDescent="0.25">
      <c r="A196" t="s">
        <v>511</v>
      </c>
      <c r="B196" t="s">
        <v>178</v>
      </c>
      <c r="C196" t="s">
        <v>178</v>
      </c>
      <c r="D196" t="s">
        <v>666</v>
      </c>
      <c r="E196" t="s">
        <v>367</v>
      </c>
      <c r="F196" t="s">
        <v>314</v>
      </c>
      <c r="G196" t="s">
        <v>661</v>
      </c>
      <c r="H196" s="25" t="s">
        <v>667</v>
      </c>
      <c r="I196" t="b">
        <f>COUNTIF($N$2:$N$50,"Weave the Thread")&gt;0</f>
        <v>0</v>
      </c>
    </row>
    <row r="197" spans="1:9" ht="75" x14ac:dyDescent="0.25">
      <c r="A197" t="s">
        <v>511</v>
      </c>
      <c r="B197" t="s">
        <v>171</v>
      </c>
      <c r="C197" t="s">
        <v>218</v>
      </c>
      <c r="D197" t="s">
        <v>668</v>
      </c>
      <c r="E197" t="s">
        <v>220</v>
      </c>
      <c r="G197" t="s">
        <v>669</v>
      </c>
      <c r="H197" s="25" t="s">
        <v>670</v>
      </c>
      <c r="I197" t="b">
        <f>AND(IFERROR(INDEX($L$2:$L$22,MATCH("Red",$K$2:$K$22,0)),0)&gt;=2,IFERROR(INDEX($L$2:$L$22,MATCH("White",$K$2:$K$22,0)),0)&gt;=2)</f>
        <v>0</v>
      </c>
    </row>
    <row r="198" spans="1:9" ht="90" x14ac:dyDescent="0.25">
      <c r="A198" t="s">
        <v>511</v>
      </c>
      <c r="B198" t="s">
        <v>171</v>
      </c>
      <c r="C198" t="s">
        <v>171</v>
      </c>
      <c r="D198" t="s">
        <v>671</v>
      </c>
      <c r="E198" t="s">
        <v>367</v>
      </c>
      <c r="F198" t="s">
        <v>314</v>
      </c>
      <c r="G198" t="s">
        <v>668</v>
      </c>
      <c r="H198" s="25" t="s">
        <v>672</v>
      </c>
      <c r="I198" t="b">
        <f>COUNTIF($N$2:$N$50,"Builder's Oath")&gt;0</f>
        <v>0</v>
      </c>
    </row>
    <row r="199" spans="1:9" ht="75" x14ac:dyDescent="0.25">
      <c r="A199" t="s">
        <v>511</v>
      </c>
      <c r="B199" t="s">
        <v>171</v>
      </c>
      <c r="C199" t="s">
        <v>171</v>
      </c>
      <c r="D199" t="s">
        <v>673</v>
      </c>
      <c r="E199" t="s">
        <v>253</v>
      </c>
      <c r="F199" t="s">
        <v>250</v>
      </c>
      <c r="G199" t="s">
        <v>671</v>
      </c>
      <c r="H199" s="25" t="s">
        <v>674</v>
      </c>
      <c r="I199" t="b">
        <f>COUNTIF($N$2:$N$50,"Forge Servant")&gt;0</f>
        <v>0</v>
      </c>
    </row>
    <row r="200" spans="1:9" ht="45" x14ac:dyDescent="0.25">
      <c r="A200" t="s">
        <v>511</v>
      </c>
      <c r="B200" t="s">
        <v>171</v>
      </c>
      <c r="C200" t="s">
        <v>171</v>
      </c>
      <c r="D200" t="s">
        <v>675</v>
      </c>
      <c r="E200" t="s">
        <v>253</v>
      </c>
      <c r="F200" t="s">
        <v>250</v>
      </c>
      <c r="G200" t="s">
        <v>671</v>
      </c>
      <c r="H200" s="25" t="s">
        <v>676</v>
      </c>
      <c r="I200" t="b">
        <f>COUNTIF($N$2:$N$50,"Forge Servant")&gt;0</f>
        <v>0</v>
      </c>
    </row>
    <row r="201" spans="1:9" ht="60" x14ac:dyDescent="0.25">
      <c r="A201" t="s">
        <v>511</v>
      </c>
      <c r="B201" t="s">
        <v>171</v>
      </c>
      <c r="C201" t="s">
        <v>171</v>
      </c>
      <c r="D201" t="s">
        <v>677</v>
      </c>
      <c r="E201" t="s">
        <v>220</v>
      </c>
      <c r="G201" t="s">
        <v>678</v>
      </c>
      <c r="H201" s="25" t="s">
        <v>679</v>
      </c>
      <c r="I201" t="b">
        <f>OR(COUNTIF($N$2:$N$50,"Emergency Repairs")&gt;0,COUNTIF($N$2:$N$50,"Tempered Edge")&gt;0)</f>
        <v>0</v>
      </c>
    </row>
    <row r="202" spans="1:9" ht="75" x14ac:dyDescent="0.25">
      <c r="A202" t="s">
        <v>511</v>
      </c>
      <c r="B202" t="s">
        <v>171</v>
      </c>
      <c r="C202" t="s">
        <v>171</v>
      </c>
      <c r="D202" t="s">
        <v>680</v>
      </c>
      <c r="E202" t="s">
        <v>253</v>
      </c>
      <c r="F202" t="s">
        <v>250</v>
      </c>
      <c r="G202" t="s">
        <v>677</v>
      </c>
      <c r="H202" s="25" t="s">
        <v>681</v>
      </c>
      <c r="I202" t="b">
        <f>COUNTIF($N$2:$N$50,"Expanded Workshop")&gt;0</f>
        <v>0</v>
      </c>
    </row>
    <row r="203" spans="1:9" ht="75" x14ac:dyDescent="0.25">
      <c r="A203" t="s">
        <v>511</v>
      </c>
      <c r="B203" t="s">
        <v>171</v>
      </c>
      <c r="C203" t="s">
        <v>171</v>
      </c>
      <c r="D203" t="s">
        <v>682</v>
      </c>
      <c r="E203" t="s">
        <v>367</v>
      </c>
      <c r="F203" t="s">
        <v>314</v>
      </c>
      <c r="G203" t="s">
        <v>680</v>
      </c>
      <c r="H203" s="25" t="s">
        <v>683</v>
      </c>
      <c r="I203" t="b">
        <f>COUNTIF($N$2:$N$50,"Specialized Design")&gt;0</f>
        <v>0</v>
      </c>
    </row>
    <row r="204" spans="1:9" ht="60" x14ac:dyDescent="0.25">
      <c r="A204" t="s">
        <v>511</v>
      </c>
      <c r="B204" t="s">
        <v>171</v>
      </c>
      <c r="C204" t="s">
        <v>171</v>
      </c>
      <c r="D204" t="s">
        <v>684</v>
      </c>
      <c r="E204" t="s">
        <v>531</v>
      </c>
      <c r="F204" t="s">
        <v>579</v>
      </c>
      <c r="G204" t="s">
        <v>682</v>
      </c>
      <c r="H204" s="25" t="s">
        <v>685</v>
      </c>
      <c r="I204" t="b">
        <f>COUNTIF($N$2:$N$50,"Hearthfire")&gt;0</f>
        <v>0</v>
      </c>
    </row>
    <row r="205" spans="1:9" ht="45" x14ac:dyDescent="0.25">
      <c r="A205" t="s">
        <v>511</v>
      </c>
      <c r="B205" t="s">
        <v>171</v>
      </c>
      <c r="C205" t="s">
        <v>171</v>
      </c>
      <c r="D205" t="s">
        <v>686</v>
      </c>
      <c r="E205" t="s">
        <v>367</v>
      </c>
      <c r="F205" t="s">
        <v>314</v>
      </c>
      <c r="G205" t="s">
        <v>682</v>
      </c>
      <c r="H205" s="25" t="s">
        <v>687</v>
      </c>
      <c r="I205" t="b">
        <f>COUNTIF($N$2:$N$50,"Hearthfire")&gt;0</f>
        <v>0</v>
      </c>
    </row>
    <row r="206" spans="1:9" ht="60" x14ac:dyDescent="0.25">
      <c r="A206" t="s">
        <v>511</v>
      </c>
      <c r="B206" t="s">
        <v>171</v>
      </c>
      <c r="C206" t="s">
        <v>171</v>
      </c>
      <c r="D206" t="s">
        <v>688</v>
      </c>
      <c r="E206" t="s">
        <v>531</v>
      </c>
      <c r="F206" t="s">
        <v>579</v>
      </c>
      <c r="G206" t="s">
        <v>689</v>
      </c>
      <c r="H206" s="25" t="s">
        <v>690</v>
      </c>
      <c r="I206" t="b">
        <f>OR(COUNTIF($N$2:$N$50,"Bonds of Community")&gt;0,COUNTIF($N$2:$N$50,"Trade Routes")&gt;0)</f>
        <v>0</v>
      </c>
    </row>
    <row r="207" spans="1:9" ht="45" x14ac:dyDescent="0.25">
      <c r="A207" t="s">
        <v>511</v>
      </c>
      <c r="B207" t="s">
        <v>189</v>
      </c>
      <c r="C207" t="s">
        <v>218</v>
      </c>
      <c r="D207" t="s">
        <v>691</v>
      </c>
      <c r="E207" t="s">
        <v>220</v>
      </c>
      <c r="G207" t="s">
        <v>692</v>
      </c>
      <c r="H207" s="25" t="s">
        <v>693</v>
      </c>
      <c r="I207" t="b">
        <f>AND(IFERROR(INDEX($L$2:$L$22,MATCH("Black",$K$2:$K$22,0)),0)&gt;=2,IFERROR(INDEX($L$2:$L$22,MATCH("Red",$K$2:$K$22,0)),0)&gt;=2)</f>
        <v>0</v>
      </c>
    </row>
    <row r="208" spans="1:9" ht="60" x14ac:dyDescent="0.25">
      <c r="A208" t="s">
        <v>511</v>
      </c>
      <c r="B208" t="s">
        <v>189</v>
      </c>
      <c r="C208" t="s">
        <v>189</v>
      </c>
      <c r="D208" t="s">
        <v>694</v>
      </c>
      <c r="E208" t="s">
        <v>253</v>
      </c>
      <c r="F208" t="s">
        <v>250</v>
      </c>
      <c r="G208" t="s">
        <v>691</v>
      </c>
      <c r="H208" s="25" t="s">
        <v>695</v>
      </c>
      <c r="I208" t="b">
        <f>COUNTIF($N$2:$N$50,"Will to Power")&gt;0</f>
        <v>0</v>
      </c>
    </row>
    <row r="209" spans="1:9" ht="45" x14ac:dyDescent="0.25">
      <c r="A209" t="s">
        <v>511</v>
      </c>
      <c r="B209" t="s">
        <v>189</v>
      </c>
      <c r="C209" t="s">
        <v>189</v>
      </c>
      <c r="D209" t="s">
        <v>696</v>
      </c>
      <c r="E209" t="s">
        <v>367</v>
      </c>
      <c r="F209" t="s">
        <v>314</v>
      </c>
      <c r="G209" t="s">
        <v>691</v>
      </c>
      <c r="H209" s="25" t="s">
        <v>697</v>
      </c>
      <c r="I209" t="b">
        <f>COUNTIF($N$2:$N$50,"Will to Power")&gt;0</f>
        <v>0</v>
      </c>
    </row>
    <row r="210" spans="1:9" ht="60" x14ac:dyDescent="0.25">
      <c r="A210" t="s">
        <v>511</v>
      </c>
      <c r="B210" t="s">
        <v>189</v>
      </c>
      <c r="C210" t="s">
        <v>189</v>
      </c>
      <c r="D210" t="s">
        <v>698</v>
      </c>
      <c r="E210" t="s">
        <v>367</v>
      </c>
      <c r="F210" t="s">
        <v>314</v>
      </c>
      <c r="G210" t="s">
        <v>694</v>
      </c>
      <c r="H210" s="25" t="s">
        <v>699</v>
      </c>
      <c r="I210" t="b">
        <f>COUNTIF($N$2:$N$50,"Kneel")&gt;0</f>
        <v>0</v>
      </c>
    </row>
    <row r="211" spans="1:9" ht="60" x14ac:dyDescent="0.25">
      <c r="A211" t="s">
        <v>511</v>
      </c>
      <c r="B211" t="s">
        <v>189</v>
      </c>
      <c r="C211" t="s">
        <v>189</v>
      </c>
      <c r="D211" t="s">
        <v>700</v>
      </c>
      <c r="E211" t="s">
        <v>253</v>
      </c>
      <c r="F211" t="s">
        <v>250</v>
      </c>
      <c r="G211" t="s">
        <v>701</v>
      </c>
      <c r="H211" s="25" t="s">
        <v>702</v>
      </c>
      <c r="I211" t="b">
        <f>OR(COUNTIF($N$2:$N$50,"Crown of Thorns")&gt;0,COUNTIF($N$2:$N$50,"Absolute Authority")&gt;0)</f>
        <v>0</v>
      </c>
    </row>
    <row r="212" spans="1:9" ht="45" x14ac:dyDescent="0.25">
      <c r="A212" t="s">
        <v>511</v>
      </c>
      <c r="B212" t="s">
        <v>189</v>
      </c>
      <c r="C212" t="s">
        <v>189</v>
      </c>
      <c r="D212" t="s">
        <v>703</v>
      </c>
      <c r="E212" t="s">
        <v>367</v>
      </c>
      <c r="F212" t="s">
        <v>314</v>
      </c>
      <c r="G212" t="s">
        <v>700</v>
      </c>
      <c r="H212" s="25" t="s">
        <v>704</v>
      </c>
      <c r="I212" t="b">
        <f>COUNTIF($N$2:$N$50,"Momentum of Victory")&gt;0</f>
        <v>0</v>
      </c>
    </row>
    <row r="213" spans="1:9" ht="45" x14ac:dyDescent="0.25">
      <c r="A213" t="s">
        <v>511</v>
      </c>
      <c r="B213" t="s">
        <v>189</v>
      </c>
      <c r="C213" t="s">
        <v>189</v>
      </c>
      <c r="D213" t="s">
        <v>705</v>
      </c>
      <c r="E213" t="s">
        <v>253</v>
      </c>
      <c r="F213" t="s">
        <v>250</v>
      </c>
      <c r="G213" t="s">
        <v>700</v>
      </c>
      <c r="H213" s="25" t="s">
        <v>706</v>
      </c>
      <c r="I213" t="b">
        <f>COUNTIF($N$2:$N$50,"Momentum of Victory")&gt;0</f>
        <v>0</v>
      </c>
    </row>
    <row r="214" spans="1:9" ht="45" x14ac:dyDescent="0.25">
      <c r="A214" t="s">
        <v>511</v>
      </c>
      <c r="B214" t="s">
        <v>189</v>
      </c>
      <c r="C214" t="s">
        <v>189</v>
      </c>
      <c r="D214" t="s">
        <v>707</v>
      </c>
      <c r="E214" t="s">
        <v>367</v>
      </c>
      <c r="F214" t="s">
        <v>314</v>
      </c>
      <c r="G214" t="s">
        <v>708</v>
      </c>
      <c r="H214" s="25" t="s">
        <v>709</v>
      </c>
      <c r="I214" t="b">
        <f>OR(COUNTIF($N$2:$N$50,"Warlord's Fury")&gt;0,COUNTIF($N$2:$N$50,"Unstoppable Advance")&gt;0)</f>
        <v>0</v>
      </c>
    </row>
    <row r="215" spans="1:9" ht="60" x14ac:dyDescent="0.25">
      <c r="A215" t="s">
        <v>511</v>
      </c>
      <c r="B215" t="s">
        <v>189</v>
      </c>
      <c r="C215" t="s">
        <v>189</v>
      </c>
      <c r="D215" t="s">
        <v>710</v>
      </c>
      <c r="E215" t="s">
        <v>531</v>
      </c>
      <c r="F215" t="s">
        <v>579</v>
      </c>
      <c r="G215" t="s">
        <v>707</v>
      </c>
      <c r="H215" s="25" t="s">
        <v>711</v>
      </c>
      <c r="I215" t="b">
        <f>COUNTIF($N$2:$N$50,"Investiture of Command")&gt;0</f>
        <v>0</v>
      </c>
    </row>
    <row r="216" spans="1:9" ht="60" x14ac:dyDescent="0.25">
      <c r="A216" t="s">
        <v>511</v>
      </c>
      <c r="B216" t="s">
        <v>189</v>
      </c>
      <c r="C216" t="s">
        <v>189</v>
      </c>
      <c r="D216" t="s">
        <v>712</v>
      </c>
      <c r="E216" t="s">
        <v>367</v>
      </c>
      <c r="F216" t="s">
        <v>314</v>
      </c>
      <c r="G216" t="s">
        <v>707</v>
      </c>
      <c r="H216" s="25" t="s">
        <v>713</v>
      </c>
      <c r="I216" t="b">
        <f>COUNTIF($N$2:$N$50,"Investiture of Command")&gt;0</f>
        <v>0</v>
      </c>
    </row>
    <row r="217" spans="1:9" ht="60" x14ac:dyDescent="0.25">
      <c r="A217" t="s">
        <v>511</v>
      </c>
      <c r="B217" t="s">
        <v>175</v>
      </c>
      <c r="C217" t="s">
        <v>218</v>
      </c>
      <c r="D217" t="s">
        <v>714</v>
      </c>
      <c r="E217" t="s">
        <v>220</v>
      </c>
      <c r="G217" t="s">
        <v>715</v>
      </c>
      <c r="H217" s="25" t="s">
        <v>716</v>
      </c>
      <c r="I217" t="b">
        <f>AND(IFERROR(INDEX($L$2:$L$22,MATCH("Blue",$K$2:$K$22,0)),0)&gt;=2,IFERROR(INDEX($L$2:$L$22,MATCH("Red",$K$2:$K$22,0)),0)&gt;=2)</f>
        <v>0</v>
      </c>
    </row>
    <row r="218" spans="1:9" ht="45" x14ac:dyDescent="0.25">
      <c r="A218" t="s">
        <v>511</v>
      </c>
      <c r="B218" t="s">
        <v>175</v>
      </c>
      <c r="C218" t="s">
        <v>175</v>
      </c>
      <c r="D218" t="s">
        <v>717</v>
      </c>
      <c r="E218" t="s">
        <v>253</v>
      </c>
      <c r="F218" t="s">
        <v>314</v>
      </c>
      <c r="G218" t="s">
        <v>714</v>
      </c>
      <c r="H218" s="25" t="s">
        <v>718</v>
      </c>
      <c r="I218" t="b">
        <f>COUNTIF($N$2:$N$50,"Ruin Sight")&gt;0</f>
        <v>0</v>
      </c>
    </row>
    <row r="219" spans="1:9" ht="45" x14ac:dyDescent="0.25">
      <c r="A219" t="s">
        <v>511</v>
      </c>
      <c r="B219" t="s">
        <v>175</v>
      </c>
      <c r="C219" t="s">
        <v>175</v>
      </c>
      <c r="D219" t="s">
        <v>719</v>
      </c>
      <c r="E219" t="s">
        <v>367</v>
      </c>
      <c r="F219" t="s">
        <v>314</v>
      </c>
      <c r="G219" t="s">
        <v>714</v>
      </c>
      <c r="H219" s="25" t="s">
        <v>720</v>
      </c>
      <c r="I219" t="b">
        <f>COUNTIF($N$2:$N$50,"Ruin Sight")&gt;0</f>
        <v>0</v>
      </c>
    </row>
    <row r="220" spans="1:9" ht="45" x14ac:dyDescent="0.25">
      <c r="A220" t="s">
        <v>511</v>
      </c>
      <c r="B220" t="s">
        <v>175</v>
      </c>
      <c r="C220" t="s">
        <v>175</v>
      </c>
      <c r="D220" t="s">
        <v>721</v>
      </c>
      <c r="E220" t="s">
        <v>253</v>
      </c>
      <c r="F220" t="s">
        <v>250</v>
      </c>
      <c r="G220" t="s">
        <v>722</v>
      </c>
      <c r="H220" s="25" t="s">
        <v>723</v>
      </c>
      <c r="I220" t="b">
        <f>OR(COUNTIF($N$2:$N$50,"Pinpoint Fracture")&gt;0,COUNTIF($N$2:$N$50,"Cascading Failure")&gt;0)</f>
        <v>0</v>
      </c>
    </row>
    <row r="221" spans="1:9" ht="60" x14ac:dyDescent="0.25">
      <c r="A221" t="s">
        <v>511</v>
      </c>
      <c r="B221" t="s">
        <v>175</v>
      </c>
      <c r="C221" t="s">
        <v>175</v>
      </c>
      <c r="D221" t="s">
        <v>724</v>
      </c>
      <c r="E221" t="s">
        <v>253</v>
      </c>
      <c r="F221" t="s">
        <v>250</v>
      </c>
      <c r="G221" t="s">
        <v>721</v>
      </c>
      <c r="H221" s="25" t="s">
        <v>725</v>
      </c>
      <c r="I221" t="b">
        <f>COUNTIF($N$2:$N$50,"Precision Demolition")&gt;0</f>
        <v>0</v>
      </c>
    </row>
    <row r="222" spans="1:9" ht="45" x14ac:dyDescent="0.25">
      <c r="A222" t="s">
        <v>511</v>
      </c>
      <c r="B222" t="s">
        <v>175</v>
      </c>
      <c r="C222" t="s">
        <v>175</v>
      </c>
      <c r="D222" t="s">
        <v>726</v>
      </c>
      <c r="E222" t="s">
        <v>367</v>
      </c>
      <c r="F222" t="s">
        <v>314</v>
      </c>
      <c r="G222" t="s">
        <v>721</v>
      </c>
      <c r="H222" s="25" t="s">
        <v>727</v>
      </c>
      <c r="I222" t="b">
        <f>COUNTIF($N$2:$N$50,"Precision Demolition")&gt;0</f>
        <v>0</v>
      </c>
    </row>
    <row r="223" spans="1:9" ht="45" x14ac:dyDescent="0.25">
      <c r="A223" t="s">
        <v>511</v>
      </c>
      <c r="B223" t="s">
        <v>175</v>
      </c>
      <c r="C223" t="s">
        <v>175</v>
      </c>
      <c r="D223" t="s">
        <v>728</v>
      </c>
      <c r="E223" t="s">
        <v>253</v>
      </c>
      <c r="F223" t="s">
        <v>250</v>
      </c>
      <c r="G223" t="s">
        <v>729</v>
      </c>
      <c r="H223" s="25" t="s">
        <v>730</v>
      </c>
      <c r="I223" t="b">
        <f>OR(COUNTIF($N$2:$N$50,"Shatter")&gt;0,COUNTIF($N$2:$N$50,"Detonation Point")&gt;0)</f>
        <v>0</v>
      </c>
    </row>
    <row r="224" spans="1:9" ht="60" x14ac:dyDescent="0.25">
      <c r="A224" t="s">
        <v>511</v>
      </c>
      <c r="B224" t="s">
        <v>175</v>
      </c>
      <c r="C224" t="s">
        <v>175</v>
      </c>
      <c r="D224" t="s">
        <v>731</v>
      </c>
      <c r="E224" t="s">
        <v>367</v>
      </c>
      <c r="F224" t="s">
        <v>314</v>
      </c>
      <c r="G224" t="s">
        <v>728</v>
      </c>
      <c r="H224" s="25" t="s">
        <v>732</v>
      </c>
      <c r="I224" t="b">
        <f>COUNTIF($N$2:$N$50,"Walking Ruin")&gt;0</f>
        <v>0</v>
      </c>
    </row>
    <row r="225" spans="1:9" ht="60" x14ac:dyDescent="0.25">
      <c r="A225" t="s">
        <v>511</v>
      </c>
      <c r="B225" t="s">
        <v>175</v>
      </c>
      <c r="C225" t="s">
        <v>175</v>
      </c>
      <c r="D225" t="s">
        <v>733</v>
      </c>
      <c r="E225" t="s">
        <v>531</v>
      </c>
      <c r="F225" t="s">
        <v>579</v>
      </c>
      <c r="G225" t="s">
        <v>731</v>
      </c>
      <c r="H225" s="25" t="s">
        <v>734</v>
      </c>
      <c r="I225" t="b">
        <f>COUNTIF($N$2:$N$50,"Controlled Demolition")&gt;0</f>
        <v>0</v>
      </c>
    </row>
    <row r="226" spans="1:9" ht="60" x14ac:dyDescent="0.25">
      <c r="A226" t="s">
        <v>511</v>
      </c>
      <c r="B226" t="s">
        <v>175</v>
      </c>
      <c r="C226" t="s">
        <v>175</v>
      </c>
      <c r="D226" t="s">
        <v>735</v>
      </c>
      <c r="E226" t="s">
        <v>367</v>
      </c>
      <c r="F226" t="s">
        <v>314</v>
      </c>
      <c r="G226" t="s">
        <v>731</v>
      </c>
      <c r="H226" s="25" t="s">
        <v>736</v>
      </c>
      <c r="I226" t="b">
        <f>COUNTIF($N$2:$N$50,"Controlled Demolition")&gt;0</f>
        <v>0</v>
      </c>
    </row>
    <row r="227" spans="1:9" hidden="1" x14ac:dyDescent="0.25">
      <c r="A227" t="s">
        <v>737</v>
      </c>
      <c r="B227" t="s">
        <v>738</v>
      </c>
      <c r="C227" t="s">
        <v>218</v>
      </c>
      <c r="D227" t="s">
        <v>739</v>
      </c>
      <c r="E227" t="s">
        <v>224</v>
      </c>
      <c r="H227" s="25" t="s">
        <v>740</v>
      </c>
      <c r="I227" t="b">
        <f>TRUE</f>
        <v>1</v>
      </c>
    </row>
    <row r="228" spans="1:9" hidden="1" x14ac:dyDescent="0.25">
      <c r="A228" t="s">
        <v>737</v>
      </c>
      <c r="B228" t="s">
        <v>738</v>
      </c>
      <c r="C228" t="s">
        <v>741</v>
      </c>
      <c r="D228" t="s">
        <v>742</v>
      </c>
      <c r="E228" t="s">
        <v>235</v>
      </c>
      <c r="G228" t="s">
        <v>743</v>
      </c>
      <c r="H228" s="25" t="s">
        <v>744</v>
      </c>
      <c r="I228" t="b">
        <f>IFERROR(INDEX($L$2:$L$22,MATCH("Deduction",$K$2:$K$22,0)),0)&gt;=1</f>
        <v>1</v>
      </c>
    </row>
    <row r="229" spans="1:9" ht="45" hidden="1" x14ac:dyDescent="0.25">
      <c r="A229" t="s">
        <v>737</v>
      </c>
      <c r="B229" t="s">
        <v>738</v>
      </c>
      <c r="C229" t="s">
        <v>741</v>
      </c>
      <c r="D229" t="s">
        <v>745</v>
      </c>
      <c r="E229" t="s">
        <v>367</v>
      </c>
      <c r="F229" t="s">
        <v>236</v>
      </c>
      <c r="G229" t="s">
        <v>746</v>
      </c>
      <c r="H229" s="25" t="s">
        <v>747</v>
      </c>
      <c r="I229" t="b">
        <f>IFERROR(INDEX($L$2:$L$22,MATCH("Insight",$K$2:$K$22,0)),0)&gt;=2</f>
        <v>1</v>
      </c>
    </row>
    <row r="230" spans="1:9" ht="30" hidden="1" x14ac:dyDescent="0.25">
      <c r="A230" t="s">
        <v>737</v>
      </c>
      <c r="B230" t="s">
        <v>738</v>
      </c>
      <c r="C230" t="s">
        <v>741</v>
      </c>
      <c r="D230" t="s">
        <v>748</v>
      </c>
      <c r="E230" t="s">
        <v>351</v>
      </c>
      <c r="F230" t="s">
        <v>387</v>
      </c>
      <c r="G230" t="s">
        <v>742</v>
      </c>
      <c r="H230" s="25" t="s">
        <v>749</v>
      </c>
      <c r="I230" t="b">
        <f>COUNTIF($N$2:$N$50,"Watchful Eye")&gt;0</f>
        <v>0</v>
      </c>
    </row>
    <row r="231" spans="1:9" ht="30" hidden="1" x14ac:dyDescent="0.25">
      <c r="A231" t="s">
        <v>737</v>
      </c>
      <c r="B231" t="s">
        <v>738</v>
      </c>
      <c r="C231" t="s">
        <v>741</v>
      </c>
      <c r="D231" t="s">
        <v>338</v>
      </c>
      <c r="E231" t="s">
        <v>220</v>
      </c>
      <c r="G231" t="s">
        <v>745</v>
      </c>
      <c r="H231" s="25" t="s">
        <v>750</v>
      </c>
      <c r="I231" t="b">
        <f>COUNTIF($N$2:$N$50,"Get 'Em Talking")&gt;0</f>
        <v>0</v>
      </c>
    </row>
    <row r="232" spans="1:9" ht="30" hidden="1" x14ac:dyDescent="0.25">
      <c r="A232" t="s">
        <v>737</v>
      </c>
      <c r="B232" t="s">
        <v>738</v>
      </c>
      <c r="C232" t="s">
        <v>741</v>
      </c>
      <c r="D232" t="s">
        <v>751</v>
      </c>
      <c r="E232" t="s">
        <v>220</v>
      </c>
      <c r="G232" t="s">
        <v>752</v>
      </c>
      <c r="H232" s="25" t="s">
        <v>753</v>
      </c>
      <c r="I232" t="b">
        <f>AND(COUNTIF($N$2:$N$50,"Quick Analysis")&gt;0,IFERROR(INDEX($L$2:$L$22,MATCH("Insight",$K$2:$K$22,0)),0)&gt;=2)</f>
        <v>0</v>
      </c>
    </row>
    <row r="233" spans="1:9" hidden="1" x14ac:dyDescent="0.25">
      <c r="A233" t="s">
        <v>737</v>
      </c>
      <c r="B233" t="s">
        <v>738</v>
      </c>
      <c r="C233" t="s">
        <v>741</v>
      </c>
      <c r="D233" t="s">
        <v>265</v>
      </c>
      <c r="E233" t="s">
        <v>220</v>
      </c>
      <c r="G233" t="s">
        <v>338</v>
      </c>
      <c r="H233" s="25" t="s">
        <v>754</v>
      </c>
      <c r="I233" t="b">
        <f>COUNTIF($N$2:$N$50,"Baleful")&gt;0</f>
        <v>0</v>
      </c>
    </row>
    <row r="234" spans="1:9" ht="45" hidden="1" x14ac:dyDescent="0.25">
      <c r="A234" t="s">
        <v>737</v>
      </c>
      <c r="B234" t="s">
        <v>738</v>
      </c>
      <c r="C234" t="s">
        <v>741</v>
      </c>
      <c r="D234" t="s">
        <v>755</v>
      </c>
      <c r="E234" t="s">
        <v>220</v>
      </c>
      <c r="G234" t="s">
        <v>756</v>
      </c>
      <c r="H234" s="25" t="s">
        <v>757</v>
      </c>
      <c r="I234" t="b">
        <f>AND(COUNTIF($N$2:$N$50,"Hardy")&gt;0,IFERROR(INDEX($L$2:$L$22,MATCH("Deduction",$K$2:$K$22,0)),0)&gt;=3)</f>
        <v>0</v>
      </c>
    </row>
    <row r="235" spans="1:9" ht="60" hidden="1" x14ac:dyDescent="0.25">
      <c r="A235" t="s">
        <v>737</v>
      </c>
      <c r="B235" t="s">
        <v>738</v>
      </c>
      <c r="C235" t="s">
        <v>741</v>
      </c>
      <c r="D235" t="s">
        <v>758</v>
      </c>
      <c r="E235" t="s">
        <v>531</v>
      </c>
      <c r="F235" t="s">
        <v>759</v>
      </c>
      <c r="G235" t="s">
        <v>756</v>
      </c>
      <c r="H235" s="25" t="s">
        <v>760</v>
      </c>
      <c r="I235" t="b">
        <f>AND(COUNTIF($N$2:$N$50,"Hardy")&gt;0,IFERROR(INDEX($L$2:$L$22,MATCH("Deduction",$K$2:$K$22,0)),0)&gt;=3)</f>
        <v>0</v>
      </c>
    </row>
    <row r="236" spans="1:9" ht="30" hidden="1" x14ac:dyDescent="0.25">
      <c r="A236" t="s">
        <v>737</v>
      </c>
      <c r="B236" t="s">
        <v>738</v>
      </c>
      <c r="C236" t="s">
        <v>761</v>
      </c>
      <c r="D236" t="s">
        <v>762</v>
      </c>
      <c r="E236" t="s">
        <v>224</v>
      </c>
      <c r="F236" t="s">
        <v>387</v>
      </c>
      <c r="G236" t="s">
        <v>746</v>
      </c>
      <c r="H236" s="25" t="s">
        <v>763</v>
      </c>
      <c r="I236" t="b">
        <f>IFERROR(INDEX($L$2:$L$22,MATCH("Insight",$K$2:$K$22,0)),0)&gt;=2</f>
        <v>1</v>
      </c>
    </row>
    <row r="237" spans="1:9" ht="30" hidden="1" x14ac:dyDescent="0.25">
      <c r="A237" t="s">
        <v>737</v>
      </c>
      <c r="B237" t="s">
        <v>738</v>
      </c>
      <c r="C237" t="s">
        <v>761</v>
      </c>
      <c r="D237" t="s">
        <v>764</v>
      </c>
      <c r="E237" t="s">
        <v>235</v>
      </c>
      <c r="F237" t="s">
        <v>387</v>
      </c>
      <c r="G237" t="s">
        <v>765</v>
      </c>
      <c r="H237" s="25" t="s">
        <v>766</v>
      </c>
      <c r="I237" t="b">
        <f>IFERROR(INDEX($L$2:$L$22,MATCH("Deception",$K$2:$K$22,0)),0)&gt;=1</f>
        <v>0</v>
      </c>
    </row>
    <row r="238" spans="1:9" hidden="1" x14ac:dyDescent="0.25">
      <c r="A238" t="s">
        <v>737</v>
      </c>
      <c r="B238" t="s">
        <v>738</v>
      </c>
      <c r="C238" t="s">
        <v>761</v>
      </c>
      <c r="D238" t="s">
        <v>305</v>
      </c>
      <c r="E238" t="s">
        <v>220</v>
      </c>
      <c r="G238" t="s">
        <v>762</v>
      </c>
      <c r="H238" s="25" t="s">
        <v>767</v>
      </c>
      <c r="I238" t="b">
        <f>COUNTIF($N$2:$N$50,"Sure Outcome")&gt;0</f>
        <v>0</v>
      </c>
    </row>
    <row r="239" spans="1:9" hidden="1" x14ac:dyDescent="0.25">
      <c r="A239" t="s">
        <v>737</v>
      </c>
      <c r="B239" t="s">
        <v>738</v>
      </c>
      <c r="C239" t="s">
        <v>761</v>
      </c>
      <c r="D239" t="s">
        <v>768</v>
      </c>
      <c r="E239" t="s">
        <v>220</v>
      </c>
      <c r="G239" t="s">
        <v>764</v>
      </c>
      <c r="H239" s="25" t="s">
        <v>769</v>
      </c>
      <c r="I239" t="b">
        <f>COUNTIF($N$2:$N$50,"Plausible Excuse")&gt;0</f>
        <v>0</v>
      </c>
    </row>
    <row r="240" spans="1:9" ht="30" hidden="1" x14ac:dyDescent="0.25">
      <c r="A240" t="s">
        <v>737</v>
      </c>
      <c r="B240" t="s">
        <v>738</v>
      </c>
      <c r="C240" t="s">
        <v>761</v>
      </c>
      <c r="D240" t="s">
        <v>770</v>
      </c>
      <c r="E240" t="s">
        <v>367</v>
      </c>
      <c r="G240" t="s">
        <v>771</v>
      </c>
      <c r="H240" s="25" t="s">
        <v>772</v>
      </c>
      <c r="I240" t="b">
        <f>AND(COUNTIF($N$2:$N$50,"Cover Story")&gt;0,IFERROR(INDEX($L$2:$L$22,MATCH("Insight",$K$2:$K$22,0)),0)&gt;=3)</f>
        <v>0</v>
      </c>
    </row>
    <row r="241" spans="1:9" ht="30" hidden="1" x14ac:dyDescent="0.25">
      <c r="A241" t="s">
        <v>737</v>
      </c>
      <c r="B241" t="s">
        <v>738</v>
      </c>
      <c r="C241" t="s">
        <v>761</v>
      </c>
      <c r="D241" t="s">
        <v>423</v>
      </c>
      <c r="E241" t="s">
        <v>220</v>
      </c>
      <c r="G241" t="s">
        <v>768</v>
      </c>
      <c r="H241" s="25" t="s">
        <v>773</v>
      </c>
      <c r="I241" t="b">
        <f>COUNTIF($N$2:$N$50,"Cover Story")&gt;0</f>
        <v>0</v>
      </c>
    </row>
    <row r="242" spans="1:9" ht="45" hidden="1" x14ac:dyDescent="0.25">
      <c r="A242" t="s">
        <v>737</v>
      </c>
      <c r="B242" t="s">
        <v>738</v>
      </c>
      <c r="C242" t="s">
        <v>761</v>
      </c>
      <c r="D242" t="s">
        <v>774</v>
      </c>
      <c r="E242" t="s">
        <v>224</v>
      </c>
      <c r="G242" t="s">
        <v>775</v>
      </c>
      <c r="H242" s="25" t="s">
        <v>776</v>
      </c>
      <c r="I242" t="b">
        <f>AND(COUNTIF($N$2:$N$50,"Subtle Takedown")&gt;0,IFERROR(INDEX($L$2:$L$22,MATCH("Deception",$K$2:$K$22,0)),0)&gt;=3)</f>
        <v>0</v>
      </c>
    </row>
    <row r="243" spans="1:9" ht="30" hidden="1" x14ac:dyDescent="0.25">
      <c r="A243" t="s">
        <v>737</v>
      </c>
      <c r="B243" t="s">
        <v>738</v>
      </c>
      <c r="C243" t="s">
        <v>761</v>
      </c>
      <c r="D243" t="s">
        <v>777</v>
      </c>
      <c r="E243" t="s">
        <v>224</v>
      </c>
      <c r="F243" t="s">
        <v>387</v>
      </c>
      <c r="G243" t="s">
        <v>778</v>
      </c>
      <c r="H243" s="25" t="s">
        <v>779</v>
      </c>
      <c r="I243" t="b">
        <f>COUNTIF($N$2:$N$50,"Cover Story")&gt;0</f>
        <v>0</v>
      </c>
    </row>
    <row r="244" spans="1:9" hidden="1" x14ac:dyDescent="0.25">
      <c r="A244" t="s">
        <v>737</v>
      </c>
      <c r="B244" t="s">
        <v>738</v>
      </c>
      <c r="C244" t="s">
        <v>780</v>
      </c>
      <c r="D244" t="s">
        <v>781</v>
      </c>
      <c r="E244" t="s">
        <v>224</v>
      </c>
      <c r="F244" t="s">
        <v>236</v>
      </c>
      <c r="H244" s="25" t="s">
        <v>782</v>
      </c>
      <c r="I244" t="b">
        <f>TRUE</f>
        <v>1</v>
      </c>
    </row>
    <row r="245" spans="1:9" ht="30" hidden="1" x14ac:dyDescent="0.25">
      <c r="A245" t="s">
        <v>737</v>
      </c>
      <c r="B245" t="s">
        <v>738</v>
      </c>
      <c r="C245" t="s">
        <v>780</v>
      </c>
      <c r="D245" t="s">
        <v>783</v>
      </c>
      <c r="E245" t="s">
        <v>253</v>
      </c>
      <c r="F245" t="s">
        <v>236</v>
      </c>
      <c r="H245" s="25" t="s">
        <v>784</v>
      </c>
      <c r="I245" t="b">
        <f>TRUE</f>
        <v>1</v>
      </c>
    </row>
    <row r="246" spans="1:9" ht="30" hidden="1" x14ac:dyDescent="0.25">
      <c r="A246" t="s">
        <v>737</v>
      </c>
      <c r="B246" t="s">
        <v>738</v>
      </c>
      <c r="C246" t="s">
        <v>780</v>
      </c>
      <c r="D246" t="s">
        <v>785</v>
      </c>
      <c r="E246" t="s">
        <v>224</v>
      </c>
      <c r="G246" t="s">
        <v>781</v>
      </c>
      <c r="H246" s="25" t="s">
        <v>786</v>
      </c>
      <c r="I246" t="b">
        <f>COUNTIF($N$2:$N$50,"Risky Behavior")&gt;0</f>
        <v>0</v>
      </c>
    </row>
    <row r="247" spans="1:9" ht="30" hidden="1" x14ac:dyDescent="0.25">
      <c r="A247" t="s">
        <v>737</v>
      </c>
      <c r="B247" t="s">
        <v>738</v>
      </c>
      <c r="C247" t="s">
        <v>780</v>
      </c>
      <c r="D247" t="s">
        <v>503</v>
      </c>
      <c r="E247" t="s">
        <v>220</v>
      </c>
      <c r="G247" t="s">
        <v>783</v>
      </c>
      <c r="H247" s="25" t="s">
        <v>787</v>
      </c>
      <c r="I247" t="b">
        <f>COUNTIF($N$2:$N$50,"Cheap Shot")&gt;0</f>
        <v>0</v>
      </c>
    </row>
    <row r="248" spans="1:9" ht="30" hidden="1" x14ac:dyDescent="0.25">
      <c r="A248" t="s">
        <v>737</v>
      </c>
      <c r="B248" t="s">
        <v>738</v>
      </c>
      <c r="C248" t="s">
        <v>780</v>
      </c>
      <c r="D248" t="s">
        <v>788</v>
      </c>
      <c r="E248" t="s">
        <v>224</v>
      </c>
      <c r="F248" t="s">
        <v>387</v>
      </c>
      <c r="G248" t="s">
        <v>789</v>
      </c>
      <c r="H248" s="25" t="s">
        <v>790</v>
      </c>
      <c r="I248" t="b">
        <f>AND(COUNTIF($N$2:$N$50,"Double Down")&gt;0,OR(TRUE,TRUE))</f>
        <v>0</v>
      </c>
    </row>
    <row r="249" spans="1:9" ht="45" hidden="1" x14ac:dyDescent="0.25">
      <c r="A249" t="s">
        <v>737</v>
      </c>
      <c r="B249" t="s">
        <v>738</v>
      </c>
      <c r="C249" t="s">
        <v>780</v>
      </c>
      <c r="D249" t="s">
        <v>791</v>
      </c>
      <c r="E249" t="s">
        <v>351</v>
      </c>
      <c r="F249" t="s">
        <v>387</v>
      </c>
      <c r="G249" t="s">
        <v>792</v>
      </c>
      <c r="H249" s="25" t="s">
        <v>793</v>
      </c>
      <c r="I249" t="b">
        <f>AND(COUNTIF($N$2:$N$50,"Surefooted")&gt;0,IFERROR(INDEX($L$2:$L$22,MATCH("Thievery",$K$2:$K$22,0)),0)&gt;=3)</f>
        <v>0</v>
      </c>
    </row>
    <row r="250" spans="1:9" ht="30" hidden="1" x14ac:dyDescent="0.25">
      <c r="A250" t="s">
        <v>737</v>
      </c>
      <c r="B250" t="s">
        <v>738</v>
      </c>
      <c r="C250" t="s">
        <v>780</v>
      </c>
      <c r="D250" t="s">
        <v>794</v>
      </c>
      <c r="E250" t="s">
        <v>351</v>
      </c>
      <c r="F250" t="s">
        <v>387</v>
      </c>
      <c r="G250" t="s">
        <v>795</v>
      </c>
      <c r="H250" s="25" t="s">
        <v>796</v>
      </c>
      <c r="I250" t="b">
        <f>AND(COUNTIF($N$2:$N$50,"Double Down")&gt;0,IFERROR(INDEX($L$2:$L$22,MATCH("Insight",$K$2:$K$22,0)),0)&gt;=3)</f>
        <v>0</v>
      </c>
    </row>
    <row r="251" spans="1:9" ht="30" hidden="1" x14ac:dyDescent="0.25">
      <c r="A251" t="s">
        <v>737</v>
      </c>
      <c r="B251" t="s">
        <v>738</v>
      </c>
      <c r="C251" t="s">
        <v>780</v>
      </c>
      <c r="D251" t="s">
        <v>797</v>
      </c>
      <c r="E251" t="s">
        <v>351</v>
      </c>
      <c r="F251" t="s">
        <v>387</v>
      </c>
      <c r="G251" t="s">
        <v>792</v>
      </c>
      <c r="H251" s="25" t="s">
        <v>798</v>
      </c>
      <c r="I251" t="b">
        <f>AND(COUNTIF($N$2:$N$50,"Surefooted")&gt;0,IFERROR(INDEX($L$2:$L$22,MATCH("Thievery",$K$2:$K$22,0)),0)&gt;=3)</f>
        <v>0</v>
      </c>
    </row>
    <row r="252" spans="1:9" hidden="1" x14ac:dyDescent="0.25">
      <c r="A252" t="s">
        <v>737</v>
      </c>
      <c r="B252" t="s">
        <v>799</v>
      </c>
      <c r="C252" t="s">
        <v>218</v>
      </c>
      <c r="D252" t="s">
        <v>800</v>
      </c>
      <c r="E252" t="s">
        <v>253</v>
      </c>
      <c r="H252" s="25" t="s">
        <v>801</v>
      </c>
      <c r="I252" t="b">
        <f>TRUE</f>
        <v>1</v>
      </c>
    </row>
    <row r="253" spans="1:9" ht="45" hidden="1" x14ac:dyDescent="0.25">
      <c r="A253" t="s">
        <v>737</v>
      </c>
      <c r="B253" t="s">
        <v>799</v>
      </c>
      <c r="C253" t="s">
        <v>802</v>
      </c>
      <c r="D253" t="s">
        <v>803</v>
      </c>
      <c r="E253" t="s">
        <v>253</v>
      </c>
      <c r="F253" t="s">
        <v>236</v>
      </c>
      <c r="G253" t="s">
        <v>804</v>
      </c>
      <c r="H253" s="25" t="s">
        <v>805</v>
      </c>
      <c r="I253" t="b">
        <f>IFERROR(INDEX($L$2:$L$22,MATCH("Discipline",$K$2:$K$22,0)),0)&gt;=1</f>
        <v>0</v>
      </c>
    </row>
    <row r="254" spans="1:9" hidden="1" x14ac:dyDescent="0.25">
      <c r="A254" t="s">
        <v>737</v>
      </c>
      <c r="B254" t="s">
        <v>799</v>
      </c>
      <c r="C254" t="s">
        <v>802</v>
      </c>
      <c r="D254" t="s">
        <v>305</v>
      </c>
      <c r="E254" t="s">
        <v>220</v>
      </c>
      <c r="H254" s="25" t="s">
        <v>767</v>
      </c>
      <c r="I254" t="b">
        <f>TRUE</f>
        <v>1</v>
      </c>
    </row>
    <row r="255" spans="1:9" ht="30" hidden="1" x14ac:dyDescent="0.25">
      <c r="A255" t="s">
        <v>737</v>
      </c>
      <c r="B255" t="s">
        <v>799</v>
      </c>
      <c r="C255" t="s">
        <v>802</v>
      </c>
      <c r="D255" t="s">
        <v>806</v>
      </c>
      <c r="E255" t="s">
        <v>235</v>
      </c>
      <c r="G255" t="s">
        <v>807</v>
      </c>
      <c r="H255" s="25" t="s">
        <v>808</v>
      </c>
      <c r="I255" t="b">
        <f>AND(COUNTIF($N$2:$N$50,"Steadfast Challenge")&gt;0,IFERROR(INDEX($L$2:$L$22,MATCH("Discipline",$K$2:$K$22,0)),0)&gt;=2)</f>
        <v>0</v>
      </c>
    </row>
    <row r="256" spans="1:9" ht="45" hidden="1" x14ac:dyDescent="0.25">
      <c r="A256" t="s">
        <v>737</v>
      </c>
      <c r="B256" t="s">
        <v>799</v>
      </c>
      <c r="C256" t="s">
        <v>802</v>
      </c>
      <c r="D256" t="s">
        <v>809</v>
      </c>
      <c r="E256" t="s">
        <v>224</v>
      </c>
      <c r="G256" t="s">
        <v>803</v>
      </c>
      <c r="H256" s="25" t="s">
        <v>810</v>
      </c>
      <c r="I256" t="b">
        <f>COUNTIF($N$2:$N$50,"Steadfast Challenge")&gt;0</f>
        <v>0</v>
      </c>
    </row>
    <row r="257" spans="1:9" ht="45" hidden="1" x14ac:dyDescent="0.25">
      <c r="A257" t="s">
        <v>737</v>
      </c>
      <c r="B257" t="s">
        <v>799</v>
      </c>
      <c r="C257" t="s">
        <v>802</v>
      </c>
      <c r="D257" t="s">
        <v>811</v>
      </c>
      <c r="E257" t="s">
        <v>220</v>
      </c>
      <c r="F257" t="s">
        <v>236</v>
      </c>
      <c r="G257" t="s">
        <v>812</v>
      </c>
      <c r="H257" s="25" t="s">
        <v>813</v>
      </c>
      <c r="I257" t="b">
        <f>AND(COUNTIF($N$2:$N$50,"Withering Retort")&gt;0,IFERROR(INDEX($L$2:$L$22,MATCH("Discipline",$K$2:$K$22,0)),0)&gt;=2)</f>
        <v>0</v>
      </c>
    </row>
    <row r="258" spans="1:9" ht="30" hidden="1" x14ac:dyDescent="0.25">
      <c r="A258" t="s">
        <v>737</v>
      </c>
      <c r="B258" t="s">
        <v>799</v>
      </c>
      <c r="C258" t="s">
        <v>802</v>
      </c>
      <c r="D258" t="s">
        <v>777</v>
      </c>
      <c r="E258" t="s">
        <v>224</v>
      </c>
      <c r="F258" t="s">
        <v>387</v>
      </c>
      <c r="G258" t="s">
        <v>814</v>
      </c>
      <c r="H258" s="25" t="s">
        <v>779</v>
      </c>
      <c r="I258" t="b">
        <f>COUNTIF($N$2:$N$50,"Well Dressed")&gt;0</f>
        <v>0</v>
      </c>
    </row>
    <row r="259" spans="1:9" ht="30" hidden="1" x14ac:dyDescent="0.25">
      <c r="A259" t="s">
        <v>737</v>
      </c>
      <c r="B259" t="s">
        <v>799</v>
      </c>
      <c r="C259" t="s">
        <v>802</v>
      </c>
      <c r="D259" t="s">
        <v>815</v>
      </c>
      <c r="E259" t="s">
        <v>351</v>
      </c>
      <c r="G259" t="s">
        <v>816</v>
      </c>
      <c r="H259" s="25" t="s">
        <v>817</v>
      </c>
      <c r="I259" t="b">
        <f>AND(COUNTIF($N$2:$N$50,"Calm Appeal")&gt;0,IFERROR(INDEX($L$2:$L$22,MATCH("Discipline",$K$2:$K$22,0)),0)&gt;=3)</f>
        <v>0</v>
      </c>
    </row>
    <row r="260" spans="1:9" ht="30" hidden="1" x14ac:dyDescent="0.25">
      <c r="A260" t="s">
        <v>737</v>
      </c>
      <c r="B260" t="s">
        <v>799</v>
      </c>
      <c r="C260" t="s">
        <v>802</v>
      </c>
      <c r="D260" t="s">
        <v>818</v>
      </c>
      <c r="E260" t="s">
        <v>224</v>
      </c>
      <c r="F260" t="s">
        <v>819</v>
      </c>
      <c r="G260" t="s">
        <v>820</v>
      </c>
      <c r="H260" s="25" t="s">
        <v>821</v>
      </c>
      <c r="I260" t="b">
        <f>AND(COUNTIF($N$2:$N$50,"High Society Contacts")&gt;0,IFERROR(INDEX($L$2:$L$22,MATCH("Persuasion",$K$2:$K$22,0)),0)&gt;=3)</f>
        <v>0</v>
      </c>
    </row>
    <row r="261" spans="1:9" ht="30" hidden="1" x14ac:dyDescent="0.25">
      <c r="A261" t="s">
        <v>737</v>
      </c>
      <c r="B261" t="s">
        <v>799</v>
      </c>
      <c r="C261" t="s">
        <v>822</v>
      </c>
      <c r="D261" t="s">
        <v>823</v>
      </c>
      <c r="E261" t="s">
        <v>220</v>
      </c>
      <c r="H261" s="25" t="s">
        <v>824</v>
      </c>
      <c r="I261" t="b">
        <f>TRUE</f>
        <v>1</v>
      </c>
    </row>
    <row r="262" spans="1:9" hidden="1" x14ac:dyDescent="0.25">
      <c r="A262" t="s">
        <v>737</v>
      </c>
      <c r="B262" t="s">
        <v>799</v>
      </c>
      <c r="C262" t="s">
        <v>822</v>
      </c>
      <c r="D262" t="s">
        <v>825</v>
      </c>
      <c r="E262" t="s">
        <v>367</v>
      </c>
      <c r="H262" s="25" t="s">
        <v>826</v>
      </c>
      <c r="I262" t="b">
        <f>TRUE</f>
        <v>1</v>
      </c>
    </row>
    <row r="263" spans="1:9" ht="30" hidden="1" x14ac:dyDescent="0.25">
      <c r="A263" t="s">
        <v>737</v>
      </c>
      <c r="B263" t="s">
        <v>799</v>
      </c>
      <c r="C263" t="s">
        <v>822</v>
      </c>
      <c r="D263" t="s">
        <v>827</v>
      </c>
      <c r="E263" t="s">
        <v>224</v>
      </c>
      <c r="F263" t="s">
        <v>236</v>
      </c>
      <c r="G263" t="s">
        <v>828</v>
      </c>
      <c r="H263" s="25" t="s">
        <v>829</v>
      </c>
      <c r="I263" t="b">
        <f>AND(COUNTIF($N$2:$N$50,"Customary Garb")&gt;0,IFERROR(INDEX($L$2:$L$22,MATCH("Lore",$K$2:$K$22,0)),0)&gt;=1)</f>
        <v>0</v>
      </c>
    </row>
    <row r="264" spans="1:9" hidden="1" x14ac:dyDescent="0.25">
      <c r="A264" t="s">
        <v>737</v>
      </c>
      <c r="B264" t="s">
        <v>799</v>
      </c>
      <c r="C264" t="s">
        <v>822</v>
      </c>
      <c r="D264" t="s">
        <v>326</v>
      </c>
      <c r="E264" t="s">
        <v>220</v>
      </c>
      <c r="G264" t="s">
        <v>830</v>
      </c>
      <c r="H264" s="25" t="s">
        <v>831</v>
      </c>
      <c r="I264" t="b">
        <f>COUNTIF($N$2:$N$50,"Galvanize")&gt;0</f>
        <v>0</v>
      </c>
    </row>
    <row r="265" spans="1:9" ht="30" hidden="1" x14ac:dyDescent="0.25">
      <c r="A265" t="s">
        <v>737</v>
      </c>
      <c r="B265" t="s">
        <v>799</v>
      </c>
      <c r="C265" t="s">
        <v>822</v>
      </c>
      <c r="D265" t="s">
        <v>832</v>
      </c>
      <c r="E265" t="s">
        <v>224</v>
      </c>
      <c r="F265" t="s">
        <v>236</v>
      </c>
      <c r="G265" t="s">
        <v>833</v>
      </c>
      <c r="H265" s="25" t="s">
        <v>834</v>
      </c>
      <c r="I265" t="b">
        <f>AND(COUNTIF($N$2:$N$50,"Devoted Presence")&gt;0,IFERROR(INDEX($L$2:$L$22,MATCH("Discipline",$K$2:$K$22,0)),0)&gt;=2)</f>
        <v>0</v>
      </c>
    </row>
    <row r="266" spans="1:9" ht="30" hidden="1" x14ac:dyDescent="0.25">
      <c r="A266" t="s">
        <v>737</v>
      </c>
      <c r="B266" t="s">
        <v>799</v>
      </c>
      <c r="C266" t="s">
        <v>822</v>
      </c>
      <c r="D266" t="s">
        <v>835</v>
      </c>
      <c r="E266" t="s">
        <v>220</v>
      </c>
      <c r="G266" t="s">
        <v>836</v>
      </c>
      <c r="H266" s="25" t="s">
        <v>837</v>
      </c>
      <c r="I266" t="b">
        <f>AND(COUNTIF($N$2:$N$50,"Galvanize")&gt;0,IFERROR(INDEX($L$2:$L$22,MATCH("Discipline",$K$2:$K$22,0)),0)&gt;=2)</f>
        <v>0</v>
      </c>
    </row>
    <row r="267" spans="1:9" ht="30" hidden="1" x14ac:dyDescent="0.25">
      <c r="A267" t="s">
        <v>737</v>
      </c>
      <c r="B267" t="s">
        <v>799</v>
      </c>
      <c r="C267" t="s">
        <v>822</v>
      </c>
      <c r="D267" t="s">
        <v>838</v>
      </c>
      <c r="E267" t="s">
        <v>224</v>
      </c>
      <c r="F267" t="s">
        <v>236</v>
      </c>
      <c r="G267" t="s">
        <v>839</v>
      </c>
      <c r="H267" s="25" t="s">
        <v>840</v>
      </c>
      <c r="I267" t="b">
        <f>AND(COUNTIF($N$2:$N$50,"Stalwart Presence")&gt;0,IFERROR(INDEX($L$2:$L$22,MATCH("Lore",$K$2:$K$22,0)),0)&gt;=3)</f>
        <v>0</v>
      </c>
    </row>
    <row r="268" spans="1:9" ht="30" hidden="1" x14ac:dyDescent="0.25">
      <c r="A268" t="s">
        <v>737</v>
      </c>
      <c r="B268" t="s">
        <v>799</v>
      </c>
      <c r="C268" t="s">
        <v>822</v>
      </c>
      <c r="D268" t="s">
        <v>841</v>
      </c>
      <c r="E268" t="s">
        <v>224</v>
      </c>
      <c r="G268" t="s">
        <v>842</v>
      </c>
      <c r="H268" s="25" t="s">
        <v>843</v>
      </c>
      <c r="I268" t="b">
        <f>AND(COUNTIF($N$2:$N$50,"Stalwart Presence")&gt;0,COUNTIF($N$2:$N$50,"Applied Motivation")&gt;0,IFERROR(INDEX($L$2:$L$22,MATCH("Discipline",$K$2:$K$22,0)),0)&gt;=3)</f>
        <v>0</v>
      </c>
    </row>
    <row r="269" spans="1:9" ht="30" hidden="1" x14ac:dyDescent="0.25">
      <c r="A269" t="s">
        <v>737</v>
      </c>
      <c r="B269" t="s">
        <v>799</v>
      </c>
      <c r="C269" t="s">
        <v>844</v>
      </c>
      <c r="D269" t="s">
        <v>845</v>
      </c>
      <c r="E269" t="s">
        <v>235</v>
      </c>
      <c r="F269" t="s">
        <v>236</v>
      </c>
      <c r="H269" s="25" t="s">
        <v>846</v>
      </c>
      <c r="I269" t="b">
        <f>TRUE</f>
        <v>1</v>
      </c>
    </row>
    <row r="270" spans="1:9" ht="30" hidden="1" x14ac:dyDescent="0.25">
      <c r="A270" t="s">
        <v>737</v>
      </c>
      <c r="B270" t="s">
        <v>799</v>
      </c>
      <c r="C270" t="s">
        <v>844</v>
      </c>
      <c r="D270" t="s">
        <v>847</v>
      </c>
      <c r="E270" t="s">
        <v>351</v>
      </c>
      <c r="G270" t="s">
        <v>848</v>
      </c>
      <c r="H270" s="25" t="s">
        <v>849</v>
      </c>
      <c r="I270" t="b">
        <f>IFERROR(INDEX($L$2:$L$22,MATCH("Leadership",$K$2:$K$22,0)),0)&gt;=1</f>
        <v>0</v>
      </c>
    </row>
    <row r="271" spans="1:9" ht="30" hidden="1" x14ac:dyDescent="0.25">
      <c r="A271" t="s">
        <v>737</v>
      </c>
      <c r="B271" t="s">
        <v>799</v>
      </c>
      <c r="C271" t="s">
        <v>844</v>
      </c>
      <c r="D271" t="s">
        <v>850</v>
      </c>
      <c r="E271" t="s">
        <v>220</v>
      </c>
      <c r="G271" t="s">
        <v>851</v>
      </c>
      <c r="H271" s="25" t="s">
        <v>852</v>
      </c>
      <c r="I271" t="b">
        <f>AND(COUNTIF($N$2:$N$50,"Sound Advice")&gt;0,IFERROR(INDEX($L$2:$L$22,MATCH("Discipline",$K$2:$K$22,0)),0)&gt;=2)</f>
        <v>0</v>
      </c>
    </row>
    <row r="272" spans="1:9" ht="30" hidden="1" x14ac:dyDescent="0.25">
      <c r="A272" t="s">
        <v>737</v>
      </c>
      <c r="B272" t="s">
        <v>799</v>
      </c>
      <c r="C272" t="s">
        <v>844</v>
      </c>
      <c r="D272" t="s">
        <v>423</v>
      </c>
      <c r="E272" t="s">
        <v>220</v>
      </c>
      <c r="G272" t="s">
        <v>847</v>
      </c>
      <c r="H272" s="25" t="s">
        <v>773</v>
      </c>
      <c r="I272" t="b">
        <f>COUNTIF($N$2:$N$50,"Practical Demonstration")&gt;0</f>
        <v>0</v>
      </c>
    </row>
    <row r="273" spans="1:9" ht="30" hidden="1" x14ac:dyDescent="0.25">
      <c r="A273" t="s">
        <v>737</v>
      </c>
      <c r="B273" t="s">
        <v>799</v>
      </c>
      <c r="C273" t="s">
        <v>844</v>
      </c>
      <c r="D273" t="s">
        <v>853</v>
      </c>
      <c r="E273" t="s">
        <v>224</v>
      </c>
      <c r="G273" t="s">
        <v>854</v>
      </c>
      <c r="H273" s="25" t="s">
        <v>855</v>
      </c>
      <c r="I273" t="b">
        <f>COUNTIF($N$2:$N$50,"Lessons in Patience")&gt;0</f>
        <v>0</v>
      </c>
    </row>
    <row r="274" spans="1:9" ht="30" hidden="1" x14ac:dyDescent="0.25">
      <c r="A274" t="s">
        <v>737</v>
      </c>
      <c r="B274" t="s">
        <v>799</v>
      </c>
      <c r="C274" t="s">
        <v>844</v>
      </c>
      <c r="D274" t="s">
        <v>856</v>
      </c>
      <c r="E274" t="s">
        <v>220</v>
      </c>
      <c r="G274" t="s">
        <v>857</v>
      </c>
      <c r="H274" s="25" t="s">
        <v>858</v>
      </c>
      <c r="I274" t="b">
        <f>AND(COUNTIF($N$2:$N$50,"Mighty")&gt;0,IFERROR(INDEX($L$2:$L$22,MATCH("Leadership",$K$2:$K$22,0)),0)&gt;=2)</f>
        <v>0</v>
      </c>
    </row>
    <row r="275" spans="1:9" hidden="1" x14ac:dyDescent="0.25">
      <c r="A275" t="s">
        <v>737</v>
      </c>
      <c r="B275" t="s">
        <v>799</v>
      </c>
      <c r="C275" t="s">
        <v>844</v>
      </c>
      <c r="D275" t="s">
        <v>289</v>
      </c>
      <c r="E275" t="s">
        <v>220</v>
      </c>
      <c r="G275" t="s">
        <v>859</v>
      </c>
      <c r="H275" s="25" t="s">
        <v>860</v>
      </c>
      <c r="I275" t="b">
        <f>AND(COUNTIF($N$2:$N$50,"Instill Confidence")&gt;0,IFERROR(INDEX($L$2:$L$22,MATCH("Discipline",$K$2:$K$22,0)),0)&gt;=3)</f>
        <v>0</v>
      </c>
    </row>
    <row r="276" spans="1:9" ht="45" hidden="1" x14ac:dyDescent="0.25">
      <c r="A276" t="s">
        <v>737</v>
      </c>
      <c r="B276" t="s">
        <v>799</v>
      </c>
      <c r="C276" t="s">
        <v>844</v>
      </c>
      <c r="D276" t="s">
        <v>861</v>
      </c>
      <c r="E276" t="s">
        <v>220</v>
      </c>
      <c r="G276" t="s">
        <v>862</v>
      </c>
      <c r="H276" s="25" t="s">
        <v>863</v>
      </c>
      <c r="I276" t="b">
        <f>AND(COUNTIF($N$2:$N$50,"Guiding Oration")&gt;0,IFERROR(INDEX($L$2:$L$22,MATCH("Leadership",$K$2:$K$22,0)),0)&gt;=3)</f>
        <v>0</v>
      </c>
    </row>
    <row r="277" spans="1:9" ht="30" hidden="1" x14ac:dyDescent="0.25">
      <c r="A277" t="s">
        <v>737</v>
      </c>
      <c r="B277" t="s">
        <v>864</v>
      </c>
      <c r="C277" t="s">
        <v>218</v>
      </c>
      <c r="D277" t="s">
        <v>865</v>
      </c>
      <c r="E277" t="s">
        <v>224</v>
      </c>
      <c r="H277" s="25" t="s">
        <v>866</v>
      </c>
      <c r="I277" t="b">
        <f>TRUE</f>
        <v>1</v>
      </c>
    </row>
    <row r="278" spans="1:9" ht="30" hidden="1" x14ac:dyDescent="0.25">
      <c r="A278" t="s">
        <v>737</v>
      </c>
      <c r="B278" t="s">
        <v>864</v>
      </c>
      <c r="C278" t="s">
        <v>867</v>
      </c>
      <c r="D278" t="s">
        <v>868</v>
      </c>
      <c r="E278" t="s">
        <v>531</v>
      </c>
      <c r="G278" t="s">
        <v>869</v>
      </c>
      <c r="H278" s="25" t="s">
        <v>870</v>
      </c>
      <c r="I278" t="b">
        <f>IFERROR(INDEX($L$2:$L$22,MATCH("Perception",$K$2:$K$22,0)),0)&gt;=2</f>
        <v>0</v>
      </c>
    </row>
    <row r="279" spans="1:9" ht="30" hidden="1" x14ac:dyDescent="0.25">
      <c r="A279" t="s">
        <v>737</v>
      </c>
      <c r="B279" t="s">
        <v>864</v>
      </c>
      <c r="C279" t="s">
        <v>867</v>
      </c>
      <c r="D279" t="s">
        <v>871</v>
      </c>
      <c r="E279" t="s">
        <v>224</v>
      </c>
      <c r="H279" s="25" t="s">
        <v>872</v>
      </c>
      <c r="I279" t="b">
        <f>TRUE</f>
        <v>1</v>
      </c>
    </row>
    <row r="280" spans="1:9" ht="45" hidden="1" x14ac:dyDescent="0.25">
      <c r="A280" t="s">
        <v>737</v>
      </c>
      <c r="B280" t="s">
        <v>864</v>
      </c>
      <c r="C280" t="s">
        <v>867</v>
      </c>
      <c r="D280" t="s">
        <v>873</v>
      </c>
      <c r="E280" t="s">
        <v>224</v>
      </c>
      <c r="G280" t="s">
        <v>868</v>
      </c>
      <c r="H280" s="25" t="s">
        <v>874</v>
      </c>
      <c r="I280" t="b">
        <f>COUNTIF($N$2:$N$50,"Tagging Shot")&gt;0</f>
        <v>0</v>
      </c>
    </row>
    <row r="281" spans="1:9" ht="30" hidden="1" x14ac:dyDescent="0.25">
      <c r="A281" t="s">
        <v>737</v>
      </c>
      <c r="B281" t="s">
        <v>864</v>
      </c>
      <c r="C281" t="s">
        <v>867</v>
      </c>
      <c r="D281" t="s">
        <v>875</v>
      </c>
      <c r="E281" t="s">
        <v>253</v>
      </c>
      <c r="G281" t="s">
        <v>876</v>
      </c>
      <c r="H281" s="25" t="s">
        <v>877</v>
      </c>
      <c r="I281" t="b">
        <f>AND(COUNTIF($N$2:$N$50,"Combat Training")&gt;0,IFERROR(INDEX($L$2:$L$22,MATCH("Agility",$K$2:$K$22,0)),0)&gt;=1)</f>
        <v>0</v>
      </c>
    </row>
    <row r="282" spans="1:9" hidden="1" x14ac:dyDescent="0.25">
      <c r="A282" t="s">
        <v>737</v>
      </c>
      <c r="B282" t="s">
        <v>864</v>
      </c>
      <c r="C282" t="s">
        <v>867</v>
      </c>
      <c r="D282" t="s">
        <v>878</v>
      </c>
      <c r="E282" t="s">
        <v>351</v>
      </c>
      <c r="G282" t="s">
        <v>879</v>
      </c>
      <c r="H282" s="25" t="s">
        <v>880</v>
      </c>
      <c r="I282" t="b">
        <f>AND(COUNTIF($N$2:$N$50,"Sharp Eye")&gt;0,IFERROR(INDEX($L$2:$L$22,MATCH("Perception",$K$2:$K$22,0)),0)&gt;=3)</f>
        <v>0</v>
      </c>
    </row>
    <row r="283" spans="1:9" ht="45" hidden="1" x14ac:dyDescent="0.25">
      <c r="A283" t="s">
        <v>737</v>
      </c>
      <c r="B283" t="s">
        <v>864</v>
      </c>
      <c r="C283" t="s">
        <v>867</v>
      </c>
      <c r="D283" t="s">
        <v>881</v>
      </c>
      <c r="E283" t="s">
        <v>351</v>
      </c>
      <c r="F283" t="s">
        <v>387</v>
      </c>
      <c r="G283" t="s">
        <v>882</v>
      </c>
      <c r="H283" s="25" t="s">
        <v>883</v>
      </c>
      <c r="I283" t="b">
        <f>AND(COUNTIF($N$2:$N$50,"Steady Aim")&gt;0,IFERROR(INDEX($L$2:$L$22,MATCH("Agility",$K$2:$K$22,0)),0)&gt;=2)</f>
        <v>0</v>
      </c>
    </row>
    <row r="284" spans="1:9" ht="30" hidden="1" x14ac:dyDescent="0.25">
      <c r="A284" t="s">
        <v>737</v>
      </c>
      <c r="B284" t="s">
        <v>864</v>
      </c>
      <c r="C284" t="s">
        <v>867</v>
      </c>
      <c r="D284" t="s">
        <v>884</v>
      </c>
      <c r="E284" t="s">
        <v>220</v>
      </c>
      <c r="G284" t="s">
        <v>885</v>
      </c>
      <c r="H284" s="25" t="s">
        <v>886</v>
      </c>
      <c r="I284" t="b">
        <f>AND(COUNTIF($N$2:$N$50,"Hardy")&gt;0,IFERROR(INDEX($L$2:$L$22,MATCH("Agility",$K$2:$K$22,0)),0)&gt;=3)</f>
        <v>0</v>
      </c>
    </row>
    <row r="285" spans="1:9" hidden="1" x14ac:dyDescent="0.25">
      <c r="A285" t="s">
        <v>737</v>
      </c>
      <c r="B285" t="s">
        <v>864</v>
      </c>
      <c r="C285" t="s">
        <v>867</v>
      </c>
      <c r="D285" t="s">
        <v>265</v>
      </c>
      <c r="E285" t="s">
        <v>220</v>
      </c>
      <c r="G285" t="s">
        <v>875</v>
      </c>
      <c r="H285" s="25" t="s">
        <v>754</v>
      </c>
      <c r="I285" t="b">
        <f>COUNTIF($N$2:$N$50,"Steady Aim")&gt;0</f>
        <v>0</v>
      </c>
    </row>
    <row r="286" spans="1:9" ht="30" hidden="1" x14ac:dyDescent="0.25">
      <c r="A286" t="s">
        <v>737</v>
      </c>
      <c r="B286" t="s">
        <v>864</v>
      </c>
      <c r="C286" t="s">
        <v>887</v>
      </c>
      <c r="D286" t="s">
        <v>888</v>
      </c>
      <c r="E286" t="s">
        <v>253</v>
      </c>
      <c r="G286" t="s">
        <v>889</v>
      </c>
      <c r="H286" s="25" t="s">
        <v>890</v>
      </c>
      <c r="I286" t="b">
        <f>IFERROR(INDEX($L$2:$L$22,MATCH("Stealth",$K$2:$K$22,0)),0)&gt;=1</f>
        <v>0</v>
      </c>
    </row>
    <row r="287" spans="1:9" ht="30" hidden="1" x14ac:dyDescent="0.25">
      <c r="A287" t="s">
        <v>737</v>
      </c>
      <c r="B287" t="s">
        <v>864</v>
      </c>
      <c r="C287" t="s">
        <v>887</v>
      </c>
      <c r="D287" t="s">
        <v>891</v>
      </c>
      <c r="E287" t="s">
        <v>220</v>
      </c>
      <c r="G287" t="s">
        <v>869</v>
      </c>
      <c r="H287" s="25" t="s">
        <v>892</v>
      </c>
      <c r="I287" t="b">
        <f>IFERROR(INDEX($L$2:$L$22,MATCH("Perception",$K$2:$K$22,0)),0)&gt;=2</f>
        <v>0</v>
      </c>
    </row>
    <row r="288" spans="1:9" ht="60" hidden="1" x14ac:dyDescent="0.25">
      <c r="A288" t="s">
        <v>737</v>
      </c>
      <c r="B288" t="s">
        <v>864</v>
      </c>
      <c r="C288" t="s">
        <v>887</v>
      </c>
      <c r="D288" t="s">
        <v>893</v>
      </c>
      <c r="E288" t="s">
        <v>367</v>
      </c>
      <c r="G288" t="s">
        <v>894</v>
      </c>
      <c r="H288" s="25" t="s">
        <v>895</v>
      </c>
      <c r="I288" t="b">
        <f>AND(COUNTIF($N$2:$N$50,"Startling Blow")&gt;0,IFERROR(INDEX($L$2:$L$22,MATCH("Perception",$K$2:$K$22,0)),0)&gt;=3)</f>
        <v>0</v>
      </c>
    </row>
    <row r="289" spans="1:9" ht="60" hidden="1" x14ac:dyDescent="0.25">
      <c r="A289" t="s">
        <v>737</v>
      </c>
      <c r="B289" t="s">
        <v>864</v>
      </c>
      <c r="C289" t="s">
        <v>887</v>
      </c>
      <c r="D289" t="s">
        <v>896</v>
      </c>
      <c r="E289" t="s">
        <v>224</v>
      </c>
      <c r="F289" t="s">
        <v>759</v>
      </c>
      <c r="G289" t="s">
        <v>897</v>
      </c>
      <c r="H289" s="25" t="s">
        <v>898</v>
      </c>
      <c r="I289" t="b">
        <f>AND(COUNTIF($N$2:$N$50,"Killing Edge")&gt;0,IFERROR(INDEX($L$2:$L$22,MATCH("Stealth",$K$2:$K$22,0)),0)&gt;=2)</f>
        <v>0</v>
      </c>
    </row>
    <row r="290" spans="1:9" ht="30" hidden="1" x14ac:dyDescent="0.25">
      <c r="A290" t="s">
        <v>737</v>
      </c>
      <c r="B290" t="s">
        <v>864</v>
      </c>
      <c r="C290" t="s">
        <v>887</v>
      </c>
      <c r="D290" t="s">
        <v>423</v>
      </c>
      <c r="E290" t="s">
        <v>220</v>
      </c>
      <c r="G290" t="s">
        <v>899</v>
      </c>
      <c r="H290" s="25" t="s">
        <v>773</v>
      </c>
      <c r="I290" t="b">
        <f>COUNTIF($N$2:$N$50,"Cold Eyes")&gt;0</f>
        <v>0</v>
      </c>
    </row>
    <row r="291" spans="1:9" ht="30" hidden="1" x14ac:dyDescent="0.25">
      <c r="A291" t="s">
        <v>737</v>
      </c>
      <c r="B291" t="s">
        <v>864</v>
      </c>
      <c r="C291" t="s">
        <v>887</v>
      </c>
      <c r="D291" t="s">
        <v>899</v>
      </c>
      <c r="E291" t="s">
        <v>220</v>
      </c>
      <c r="G291" t="s">
        <v>896</v>
      </c>
      <c r="H291" s="25" t="s">
        <v>900</v>
      </c>
      <c r="I291" t="b">
        <f>COUNTIF($N$2:$N$50,"Shadowing")&gt;0</f>
        <v>0</v>
      </c>
    </row>
    <row r="292" spans="1:9" hidden="1" x14ac:dyDescent="0.25">
      <c r="A292" t="s">
        <v>737</v>
      </c>
      <c r="B292" t="s">
        <v>864</v>
      </c>
      <c r="C292" t="s">
        <v>887</v>
      </c>
      <c r="D292" t="s">
        <v>901</v>
      </c>
      <c r="E292" t="s">
        <v>253</v>
      </c>
      <c r="F292" t="s">
        <v>236</v>
      </c>
      <c r="G292" t="s">
        <v>899</v>
      </c>
      <c r="H292" s="25" t="s">
        <v>902</v>
      </c>
      <c r="I292" t="b">
        <f>COUNTIF($N$2:$N$50,"Cold Eyes")&gt;0</f>
        <v>0</v>
      </c>
    </row>
    <row r="293" spans="1:9" ht="30" hidden="1" x14ac:dyDescent="0.25">
      <c r="A293" t="s">
        <v>737</v>
      </c>
      <c r="B293" t="s">
        <v>864</v>
      </c>
      <c r="C293" t="s">
        <v>887</v>
      </c>
      <c r="D293" t="s">
        <v>903</v>
      </c>
      <c r="E293" t="s">
        <v>224</v>
      </c>
      <c r="G293" t="s">
        <v>904</v>
      </c>
      <c r="H293" s="25" t="s">
        <v>905</v>
      </c>
      <c r="I293" t="b">
        <f>AND(COUNTIF($N$2:$N$50,"Shadowing")&gt;0,IFERROR(INDEX($L$2:$L$22,MATCH("Stealth",$K$2:$K$22,0)),0)&gt;=3)</f>
        <v>0</v>
      </c>
    </row>
    <row r="294" spans="1:9" ht="75" hidden="1" x14ac:dyDescent="0.25">
      <c r="A294" t="s">
        <v>737</v>
      </c>
      <c r="B294" t="s">
        <v>864</v>
      </c>
      <c r="C294" t="s">
        <v>906</v>
      </c>
      <c r="D294" t="s">
        <v>907</v>
      </c>
      <c r="E294" t="s">
        <v>367</v>
      </c>
      <c r="G294" t="s">
        <v>908</v>
      </c>
      <c r="H294" s="25" t="s">
        <v>909</v>
      </c>
      <c r="I294" t="b">
        <f>IFERROR(INDEX($L$2:$L$22,MATCH("Survival",$K$2:$K$22,0)),0)&gt;=1</f>
        <v>1</v>
      </c>
    </row>
    <row r="295" spans="1:9" ht="60" hidden="1" x14ac:dyDescent="0.25">
      <c r="A295" t="s">
        <v>737</v>
      </c>
      <c r="B295" t="s">
        <v>864</v>
      </c>
      <c r="C295" t="s">
        <v>906</v>
      </c>
      <c r="D295" t="s">
        <v>910</v>
      </c>
      <c r="E295" t="s">
        <v>224</v>
      </c>
      <c r="G295" t="s">
        <v>911</v>
      </c>
      <c r="H295" s="25" t="s">
        <v>912</v>
      </c>
      <c r="I295" t="b">
        <f>TRUE</f>
        <v>1</v>
      </c>
    </row>
    <row r="296" spans="1:9" ht="45" hidden="1" x14ac:dyDescent="0.25">
      <c r="A296" t="s">
        <v>737</v>
      </c>
      <c r="B296" t="s">
        <v>864</v>
      </c>
      <c r="C296" t="s">
        <v>906</v>
      </c>
      <c r="D296" t="s">
        <v>913</v>
      </c>
      <c r="E296" t="s">
        <v>224</v>
      </c>
      <c r="G296" t="s">
        <v>914</v>
      </c>
      <c r="H296" s="25" t="s">
        <v>915</v>
      </c>
      <c r="I296" t="b">
        <f>AND(COUNTIF($N$2:$N$50,"Deadly Trap")&gt;0,IFERROR(INDEX($L$2:$L$22,MATCH("Perception",$K$2:$K$22,0)),0)&gt;=2)</f>
        <v>0</v>
      </c>
    </row>
    <row r="297" spans="1:9" ht="30" hidden="1" x14ac:dyDescent="0.25">
      <c r="A297" t="s">
        <v>737</v>
      </c>
      <c r="B297" t="s">
        <v>864</v>
      </c>
      <c r="C297" t="s">
        <v>906</v>
      </c>
      <c r="D297" t="s">
        <v>916</v>
      </c>
      <c r="E297" t="s">
        <v>253</v>
      </c>
      <c r="G297" t="s">
        <v>910</v>
      </c>
      <c r="H297" s="25" t="s">
        <v>917</v>
      </c>
      <c r="I297" t="b">
        <f>COUNTIF($N$2:$N$50,"Animal Bond")&gt;0</f>
        <v>0</v>
      </c>
    </row>
    <row r="298" spans="1:9" ht="30" hidden="1" x14ac:dyDescent="0.25">
      <c r="A298" t="s">
        <v>737</v>
      </c>
      <c r="B298" t="s">
        <v>864</v>
      </c>
      <c r="C298" t="s">
        <v>906</v>
      </c>
      <c r="D298" t="s">
        <v>503</v>
      </c>
      <c r="E298" t="s">
        <v>220</v>
      </c>
      <c r="G298" t="s">
        <v>913</v>
      </c>
      <c r="H298" s="25" t="s">
        <v>787</v>
      </c>
      <c r="I298" t="b">
        <f>COUNTIF($N$2:$N$50,"Experienced Trapper")&gt;0</f>
        <v>0</v>
      </c>
    </row>
    <row r="299" spans="1:9" ht="45" hidden="1" x14ac:dyDescent="0.25">
      <c r="A299" t="s">
        <v>737</v>
      </c>
      <c r="B299" t="s">
        <v>864</v>
      </c>
      <c r="C299" t="s">
        <v>906</v>
      </c>
      <c r="D299" t="s">
        <v>918</v>
      </c>
      <c r="E299" t="s">
        <v>220</v>
      </c>
      <c r="G299" t="s">
        <v>919</v>
      </c>
      <c r="H299" s="25" t="s">
        <v>920</v>
      </c>
      <c r="I299" t="b">
        <f>AND(COUNTIF($N$2:$N$50,"Protective Bond")&gt;0,IFERROR(INDEX($L$2:$L$22,MATCH("Survival",$K$2:$K$22,0)),0)&gt;=2)</f>
        <v>0</v>
      </c>
    </row>
    <row r="300" spans="1:9" ht="30" hidden="1" x14ac:dyDescent="0.25">
      <c r="A300" t="s">
        <v>737</v>
      </c>
      <c r="B300" t="s">
        <v>864</v>
      </c>
      <c r="C300" t="s">
        <v>906</v>
      </c>
      <c r="D300" t="s">
        <v>921</v>
      </c>
      <c r="E300" t="s">
        <v>220</v>
      </c>
      <c r="G300" t="s">
        <v>922</v>
      </c>
      <c r="H300" s="25" t="s">
        <v>923</v>
      </c>
      <c r="I300" t="b">
        <f>AND(COUNTIF($N$2:$N$50,"Experienced Trapper")&gt;0,IFERROR(INDEX($L$2:$L$22,MATCH("Survival",$K$2:$K$22,0)),0)&gt;=3)</f>
        <v>0</v>
      </c>
    </row>
    <row r="301" spans="1:9" ht="30" hidden="1" x14ac:dyDescent="0.25">
      <c r="A301" t="s">
        <v>737</v>
      </c>
      <c r="B301" t="s">
        <v>864</v>
      </c>
      <c r="C301" t="s">
        <v>906</v>
      </c>
      <c r="D301" t="s">
        <v>924</v>
      </c>
      <c r="E301" t="s">
        <v>235</v>
      </c>
      <c r="F301" t="s">
        <v>236</v>
      </c>
      <c r="G301" t="s">
        <v>925</v>
      </c>
      <c r="H301" s="25" t="s">
        <v>926</v>
      </c>
      <c r="I301" t="b">
        <f>AND(COUNTIF($N$2:$N$50,"Protective Bond")&gt;0,IFERROR(INDEX($L$2:$L$22,MATCH("Perception",$K$2:$K$22,0)),0)&gt;=3)</f>
        <v>0</v>
      </c>
    </row>
    <row r="302" spans="1:9" ht="30" hidden="1" x14ac:dyDescent="0.25">
      <c r="A302" t="s">
        <v>737</v>
      </c>
      <c r="B302" t="s">
        <v>927</v>
      </c>
      <c r="C302" t="s">
        <v>218</v>
      </c>
      <c r="D302" t="s">
        <v>928</v>
      </c>
      <c r="E302" t="s">
        <v>253</v>
      </c>
      <c r="F302" t="s">
        <v>236</v>
      </c>
      <c r="H302" s="25" t="s">
        <v>929</v>
      </c>
      <c r="I302" t="b">
        <f>TRUE</f>
        <v>1</v>
      </c>
    </row>
    <row r="303" spans="1:9" ht="30" hidden="1" x14ac:dyDescent="0.25">
      <c r="A303" t="s">
        <v>737</v>
      </c>
      <c r="B303" t="s">
        <v>927</v>
      </c>
      <c r="C303" t="s">
        <v>930</v>
      </c>
      <c r="D303" t="s">
        <v>931</v>
      </c>
      <c r="E303" t="s">
        <v>351</v>
      </c>
      <c r="G303" t="s">
        <v>932</v>
      </c>
      <c r="H303" s="25" t="s">
        <v>933</v>
      </c>
      <c r="I303" t="b">
        <f>IFERROR(INDEX($L$2:$L$22,MATCH("Leadership",$K$2:$K$22,0)),0)&gt;=2</f>
        <v>0</v>
      </c>
    </row>
    <row r="304" spans="1:9" ht="30" hidden="1" x14ac:dyDescent="0.25">
      <c r="A304" t="s">
        <v>737</v>
      </c>
      <c r="B304" t="s">
        <v>927</v>
      </c>
      <c r="C304" t="s">
        <v>930</v>
      </c>
      <c r="D304" t="s">
        <v>934</v>
      </c>
      <c r="E304" t="s">
        <v>253</v>
      </c>
      <c r="F304" t="s">
        <v>236</v>
      </c>
      <c r="G304" t="s">
        <v>935</v>
      </c>
      <c r="H304" s="25" t="s">
        <v>936</v>
      </c>
      <c r="I304" t="b">
        <f>IFERROR(INDEX($L$2:$L$22,MATCH("Athletics",$K$2:$K$22,0)),0)&gt;=1</f>
        <v>0</v>
      </c>
    </row>
    <row r="305" spans="1:9" ht="30" hidden="1" x14ac:dyDescent="0.25">
      <c r="A305" t="s">
        <v>737</v>
      </c>
      <c r="B305" t="s">
        <v>927</v>
      </c>
      <c r="C305" t="s">
        <v>930</v>
      </c>
      <c r="D305" t="s">
        <v>937</v>
      </c>
      <c r="E305" t="s">
        <v>220</v>
      </c>
      <c r="G305" t="s">
        <v>938</v>
      </c>
      <c r="H305" s="25" t="s">
        <v>939</v>
      </c>
      <c r="I305" t="b">
        <f>AND(COUNTIF($N$2:$N$50,"Combat Coordination")&gt;0,IFERROR(INDEX($L$2:$L$22,MATCH("Athletics",$K$2:$K$22,0)),0)&gt;=2)</f>
        <v>0</v>
      </c>
    </row>
    <row r="306" spans="1:9" hidden="1" x14ac:dyDescent="0.25">
      <c r="A306" t="s">
        <v>737</v>
      </c>
      <c r="B306" t="s">
        <v>927</v>
      </c>
      <c r="C306" t="s">
        <v>930</v>
      </c>
      <c r="D306" t="s">
        <v>265</v>
      </c>
      <c r="E306" t="s">
        <v>220</v>
      </c>
      <c r="G306" t="s">
        <v>934</v>
      </c>
      <c r="H306" s="25" t="s">
        <v>754</v>
      </c>
      <c r="I306" t="b">
        <f>COUNTIF($N$2:$N$50,"Valiant Intervention")&gt;0</f>
        <v>0</v>
      </c>
    </row>
    <row r="307" spans="1:9" ht="30" hidden="1" x14ac:dyDescent="0.25">
      <c r="A307" t="s">
        <v>737</v>
      </c>
      <c r="B307" t="s">
        <v>927</v>
      </c>
      <c r="C307" t="s">
        <v>930</v>
      </c>
      <c r="D307" t="s">
        <v>423</v>
      </c>
      <c r="E307" t="s">
        <v>220</v>
      </c>
      <c r="G307" t="s">
        <v>937</v>
      </c>
      <c r="H307" s="25" t="s">
        <v>773</v>
      </c>
      <c r="I307" t="b">
        <f>COUNTIF($N$2:$N$50,"Imposing Posture")&gt;0</f>
        <v>0</v>
      </c>
    </row>
    <row r="308" spans="1:9" ht="45" hidden="1" x14ac:dyDescent="0.25">
      <c r="A308" t="s">
        <v>737</v>
      </c>
      <c r="B308" t="s">
        <v>927</v>
      </c>
      <c r="C308" t="s">
        <v>930</v>
      </c>
      <c r="D308" t="s">
        <v>940</v>
      </c>
      <c r="E308" t="s">
        <v>224</v>
      </c>
      <c r="F308" t="s">
        <v>819</v>
      </c>
      <c r="G308" t="s">
        <v>941</v>
      </c>
      <c r="H308" s="25" t="s">
        <v>942</v>
      </c>
      <c r="I308" t="b">
        <f>AND(COUNTIF($N$2:$N$50,"Hardy")&gt;0,IFERROR(INDEX($L$2:$L$22,MATCH("Athletics",$K$2:$K$22,0)),0)&gt;=1)</f>
        <v>0</v>
      </c>
    </row>
    <row r="309" spans="1:9" ht="30" hidden="1" x14ac:dyDescent="0.25">
      <c r="A309" t="s">
        <v>737</v>
      </c>
      <c r="B309" t="s">
        <v>927</v>
      </c>
      <c r="C309" t="s">
        <v>930</v>
      </c>
      <c r="D309" t="s">
        <v>943</v>
      </c>
      <c r="E309" t="s">
        <v>235</v>
      </c>
      <c r="G309" t="s">
        <v>944</v>
      </c>
      <c r="H309" s="25" t="s">
        <v>945</v>
      </c>
      <c r="I309" t="b">
        <f>AND(COUNTIF($N$2:$N$50,"Resolute Stand")&gt;0,IFERROR(INDEX($L$2:$L$22,MATCH("Athletics",$K$2:$K$22,0)),0)&gt;=3)</f>
        <v>0</v>
      </c>
    </row>
    <row r="310" spans="1:9" ht="45" hidden="1" x14ac:dyDescent="0.25">
      <c r="A310" t="s">
        <v>737</v>
      </c>
      <c r="B310" t="s">
        <v>927</v>
      </c>
      <c r="C310" t="s">
        <v>930</v>
      </c>
      <c r="D310" t="s">
        <v>946</v>
      </c>
      <c r="E310" t="s">
        <v>224</v>
      </c>
      <c r="F310" t="s">
        <v>236</v>
      </c>
      <c r="G310" t="s">
        <v>947</v>
      </c>
      <c r="H310" s="25" t="s">
        <v>948</v>
      </c>
      <c r="I310" t="b">
        <f>AND(COUNTIF($N$2:$N$50,"Resolute Stand")&gt;0,IFERROR(INDEX($L$2:$L$22,MATCH("Leadership",$K$2:$K$22,0)),0)&gt;=2)</f>
        <v>0</v>
      </c>
    </row>
    <row r="311" spans="1:9" hidden="1" x14ac:dyDescent="0.25">
      <c r="A311" t="s">
        <v>737</v>
      </c>
      <c r="B311" t="s">
        <v>927</v>
      </c>
      <c r="C311" t="s">
        <v>949</v>
      </c>
      <c r="D311" t="s">
        <v>326</v>
      </c>
      <c r="E311" t="s">
        <v>220</v>
      </c>
      <c r="H311" s="25" t="s">
        <v>831</v>
      </c>
      <c r="I311" t="b">
        <f>TRUE</f>
        <v>1</v>
      </c>
    </row>
    <row r="312" spans="1:9" ht="30" hidden="1" x14ac:dyDescent="0.25">
      <c r="A312" t="s">
        <v>737</v>
      </c>
      <c r="B312" t="s">
        <v>927</v>
      </c>
      <c r="C312" t="s">
        <v>949</v>
      </c>
      <c r="D312" t="s">
        <v>950</v>
      </c>
      <c r="E312" t="s">
        <v>253</v>
      </c>
      <c r="G312" t="s">
        <v>951</v>
      </c>
      <c r="H312" s="25" t="s">
        <v>952</v>
      </c>
      <c r="I312" t="b">
        <f>IFERROR(INDEX($L$2:$L$22,MATCH("Persuasion",$K$2:$K$22,0)),0)&gt;=1</f>
        <v>0</v>
      </c>
    </row>
    <row r="313" spans="1:9" ht="30" hidden="1" x14ac:dyDescent="0.25">
      <c r="A313" t="s">
        <v>737</v>
      </c>
      <c r="B313" t="s">
        <v>927</v>
      </c>
      <c r="C313" t="s">
        <v>949</v>
      </c>
      <c r="D313" t="s">
        <v>953</v>
      </c>
      <c r="E313" t="s">
        <v>224</v>
      </c>
      <c r="F313" t="s">
        <v>387</v>
      </c>
      <c r="G313" t="s">
        <v>954</v>
      </c>
      <c r="H313" s="25" t="s">
        <v>955</v>
      </c>
      <c r="I313" t="b">
        <f>AND(COUNTIF($N$2:$N$50,"Composed")&gt;0,IFERROR(INDEX($L$2:$L$22,MATCH("Persuasion",$K$2:$K$22,0)),0)&gt;=2)</f>
        <v>0</v>
      </c>
    </row>
    <row r="314" spans="1:9" ht="30" hidden="1" x14ac:dyDescent="0.25">
      <c r="A314" t="s">
        <v>737</v>
      </c>
      <c r="B314" t="s">
        <v>927</v>
      </c>
      <c r="C314" t="s">
        <v>949</v>
      </c>
      <c r="D314" t="s">
        <v>823</v>
      </c>
      <c r="E314" t="s">
        <v>220</v>
      </c>
      <c r="G314" t="s">
        <v>950</v>
      </c>
      <c r="H314" s="25" t="s">
        <v>824</v>
      </c>
      <c r="I314" t="b">
        <f>COUNTIF($N$2:$N$50,"Through the Fray")&gt;0</f>
        <v>0</v>
      </c>
    </row>
    <row r="315" spans="1:9" ht="30" hidden="1" x14ac:dyDescent="0.25">
      <c r="A315" t="s">
        <v>737</v>
      </c>
      <c r="B315" t="s">
        <v>927</v>
      </c>
      <c r="C315" t="s">
        <v>949</v>
      </c>
      <c r="D315" t="s">
        <v>956</v>
      </c>
      <c r="E315" t="s">
        <v>220</v>
      </c>
      <c r="G315" t="s">
        <v>957</v>
      </c>
      <c r="H315" s="25" t="s">
        <v>958</v>
      </c>
      <c r="I315" t="b">
        <f>AND(COUNTIF($N$2:$N$50,"Confident Command")&gt;0,IFERROR(INDEX($L$2:$L$22,MATCH("Persuasion",$K$2:$K$22,0)),0)&gt;=3)</f>
        <v>0</v>
      </c>
    </row>
    <row r="316" spans="1:9" ht="45" hidden="1" x14ac:dyDescent="0.25">
      <c r="A316" t="s">
        <v>737</v>
      </c>
      <c r="B316" t="s">
        <v>927</v>
      </c>
      <c r="C316" t="s">
        <v>949</v>
      </c>
      <c r="D316" t="s">
        <v>959</v>
      </c>
      <c r="E316" t="s">
        <v>224</v>
      </c>
      <c r="F316" t="s">
        <v>236</v>
      </c>
      <c r="G316" t="s">
        <v>960</v>
      </c>
      <c r="H316" s="25" t="s">
        <v>961</v>
      </c>
      <c r="I316" t="b">
        <f>AND(COUNTIF($N$2:$N$50,"Customary Garb")&gt;0,IFERROR(INDEX($L$2:$L$22,MATCH("Leadership",$K$2:$K$22,0)),0)&gt;=2)</f>
        <v>0</v>
      </c>
    </row>
    <row r="317" spans="1:9" ht="30" hidden="1" x14ac:dyDescent="0.25">
      <c r="A317" t="s">
        <v>737</v>
      </c>
      <c r="B317" t="s">
        <v>927</v>
      </c>
      <c r="C317" t="s">
        <v>949</v>
      </c>
      <c r="D317" t="s">
        <v>962</v>
      </c>
      <c r="E317" t="s">
        <v>220</v>
      </c>
      <c r="G317" t="s">
        <v>963</v>
      </c>
      <c r="H317" s="25" t="s">
        <v>964</v>
      </c>
      <c r="I317" t="b">
        <f>COUNTIF($N$2:$N$50,"Confident Command")&gt;0</f>
        <v>0</v>
      </c>
    </row>
    <row r="318" spans="1:9" ht="30" hidden="1" x14ac:dyDescent="0.25">
      <c r="A318" t="s">
        <v>737</v>
      </c>
      <c r="B318" t="s">
        <v>927</v>
      </c>
      <c r="C318" t="s">
        <v>965</v>
      </c>
      <c r="D318" t="s">
        <v>966</v>
      </c>
      <c r="E318" t="s">
        <v>224</v>
      </c>
      <c r="G318" t="s">
        <v>765</v>
      </c>
      <c r="H318" s="25" t="s">
        <v>967</v>
      </c>
      <c r="I318" t="b">
        <f>IFERROR(INDEX($L$2:$L$22,MATCH("Deception",$K$2:$K$22,0)),0)&gt;=1</f>
        <v>0</v>
      </c>
    </row>
    <row r="319" spans="1:9" ht="45" hidden="1" x14ac:dyDescent="0.25">
      <c r="A319" t="s">
        <v>737</v>
      </c>
      <c r="B319" t="s">
        <v>927</v>
      </c>
      <c r="C319" t="s">
        <v>965</v>
      </c>
      <c r="D319" t="s">
        <v>968</v>
      </c>
      <c r="E319" t="s">
        <v>253</v>
      </c>
      <c r="H319" s="25" t="s">
        <v>969</v>
      </c>
      <c r="I319" t="b">
        <f>TRUE</f>
        <v>1</v>
      </c>
    </row>
    <row r="320" spans="1:9" ht="30" hidden="1" x14ac:dyDescent="0.25">
      <c r="A320" t="s">
        <v>737</v>
      </c>
      <c r="B320" t="s">
        <v>927</v>
      </c>
      <c r="C320" t="s">
        <v>965</v>
      </c>
      <c r="D320" t="s">
        <v>970</v>
      </c>
      <c r="E320" t="s">
        <v>224</v>
      </c>
      <c r="F320" t="s">
        <v>387</v>
      </c>
      <c r="G320" t="s">
        <v>971</v>
      </c>
      <c r="H320" s="25" t="s">
        <v>972</v>
      </c>
      <c r="I320" t="b">
        <f>COUNTIF($N$2:$N$50,"Cutthroat Tactics")&gt;0</f>
        <v>0</v>
      </c>
    </row>
    <row r="321" spans="1:9" ht="45" hidden="1" x14ac:dyDescent="0.25">
      <c r="A321" t="s">
        <v>737</v>
      </c>
      <c r="B321" t="s">
        <v>927</v>
      </c>
      <c r="C321" t="s">
        <v>965</v>
      </c>
      <c r="D321" t="s">
        <v>809</v>
      </c>
      <c r="E321" t="s">
        <v>224</v>
      </c>
      <c r="G321" t="s">
        <v>970</v>
      </c>
      <c r="H321" s="25" t="s">
        <v>973</v>
      </c>
      <c r="I321" t="b">
        <f>COUNTIF($N$2:$N$50,"Rumormonger")&gt;0</f>
        <v>0</v>
      </c>
    </row>
    <row r="322" spans="1:9" ht="30" hidden="1" x14ac:dyDescent="0.25">
      <c r="A322" t="s">
        <v>737</v>
      </c>
      <c r="B322" t="s">
        <v>927</v>
      </c>
      <c r="C322" t="s">
        <v>965</v>
      </c>
      <c r="D322" t="s">
        <v>338</v>
      </c>
      <c r="E322" t="s">
        <v>220</v>
      </c>
      <c r="G322" t="s">
        <v>970</v>
      </c>
      <c r="H322" s="25" t="s">
        <v>750</v>
      </c>
      <c r="I322" t="b">
        <f>COUNTIF($N$2:$N$50,"Rumormonger")&gt;0</f>
        <v>0</v>
      </c>
    </row>
    <row r="323" spans="1:9" ht="45" hidden="1" x14ac:dyDescent="0.25">
      <c r="A323" t="s">
        <v>737</v>
      </c>
      <c r="B323" t="s">
        <v>927</v>
      </c>
      <c r="C323" t="s">
        <v>965</v>
      </c>
      <c r="D323" t="s">
        <v>974</v>
      </c>
      <c r="E323" t="s">
        <v>367</v>
      </c>
      <c r="F323" t="s">
        <v>819</v>
      </c>
      <c r="G323" t="s">
        <v>975</v>
      </c>
      <c r="H323" s="25" t="s">
        <v>976</v>
      </c>
      <c r="I323" t="b">
        <f>AND(COUNTIF($N$2:$N$50,"Baleful")&gt;0,IFERROR(INDEX($L$2:$L$22,MATCH("Leadership",$K$2:$K$22,0)),0)&gt;=3)</f>
        <v>0</v>
      </c>
    </row>
    <row r="324" spans="1:9" ht="45" hidden="1" x14ac:dyDescent="0.25">
      <c r="A324" t="s">
        <v>737</v>
      </c>
      <c r="B324" t="s">
        <v>927</v>
      </c>
      <c r="C324" t="s">
        <v>965</v>
      </c>
      <c r="D324" t="s">
        <v>977</v>
      </c>
      <c r="E324" t="s">
        <v>224</v>
      </c>
      <c r="F324" t="s">
        <v>236</v>
      </c>
      <c r="G324" t="s">
        <v>978</v>
      </c>
      <c r="H324" s="25" t="s">
        <v>979</v>
      </c>
      <c r="I324" t="b">
        <f>AND(COUNTIF($N$2:$N$50,"Rumormonger")&gt;0,IFERROR(INDEX($L$2:$L$22,MATCH("Leadership",$K$2:$K$22,0)),0)&gt;=2)</f>
        <v>0</v>
      </c>
    </row>
    <row r="325" spans="1:9" ht="30" hidden="1" x14ac:dyDescent="0.25">
      <c r="A325" t="s">
        <v>737</v>
      </c>
      <c r="B325" t="s">
        <v>927</v>
      </c>
      <c r="C325" t="s">
        <v>965</v>
      </c>
      <c r="D325" t="s">
        <v>980</v>
      </c>
      <c r="E325" t="s">
        <v>531</v>
      </c>
      <c r="F325" t="s">
        <v>759</v>
      </c>
      <c r="G325" t="s">
        <v>981</v>
      </c>
      <c r="H325" s="25" t="s">
        <v>982</v>
      </c>
      <c r="I325" t="b">
        <f>AND(COUNTIF($N$2:$N$50,"Shrewd Command")&gt;0,IFERROR(INDEX($L$2:$L$22,MATCH("Deception",$K$2:$K$22,0)),0)&gt;=3)</f>
        <v>0</v>
      </c>
    </row>
    <row r="326" spans="1:9" ht="45" hidden="1" x14ac:dyDescent="0.25">
      <c r="A326" t="s">
        <v>737</v>
      </c>
      <c r="B326" t="s">
        <v>983</v>
      </c>
      <c r="C326" t="s">
        <v>218</v>
      </c>
      <c r="D326" t="s">
        <v>984</v>
      </c>
      <c r="E326" t="s">
        <v>224</v>
      </c>
      <c r="H326" s="25" t="s">
        <v>985</v>
      </c>
      <c r="I326" t="b">
        <f>TRUE</f>
        <v>1</v>
      </c>
    </row>
    <row r="327" spans="1:9" ht="45" hidden="1" x14ac:dyDescent="0.25">
      <c r="A327" t="s">
        <v>737</v>
      </c>
      <c r="B327" t="s">
        <v>983</v>
      </c>
      <c r="C327" t="s">
        <v>986</v>
      </c>
      <c r="D327" t="s">
        <v>987</v>
      </c>
      <c r="E327" t="s">
        <v>220</v>
      </c>
      <c r="G327" t="s">
        <v>988</v>
      </c>
      <c r="H327" s="25" t="s">
        <v>989</v>
      </c>
      <c r="I327" t="b">
        <f>IFERROR(INDEX($L$2:$L$22,MATCH("Crafting",$K$2:$K$22,0)),0)&gt;=1</f>
        <v>0</v>
      </c>
    </row>
    <row r="328" spans="1:9" ht="45" hidden="1" x14ac:dyDescent="0.25">
      <c r="A328" t="s">
        <v>737</v>
      </c>
      <c r="B328" t="s">
        <v>983</v>
      </c>
      <c r="C328" t="s">
        <v>986</v>
      </c>
      <c r="D328" t="s">
        <v>990</v>
      </c>
      <c r="E328" t="s">
        <v>224</v>
      </c>
      <c r="H328" s="25" t="s">
        <v>991</v>
      </c>
      <c r="I328" t="b">
        <f>TRUE</f>
        <v>1</v>
      </c>
    </row>
    <row r="329" spans="1:9" ht="30" hidden="1" x14ac:dyDescent="0.25">
      <c r="A329" t="s">
        <v>737</v>
      </c>
      <c r="B329" t="s">
        <v>983</v>
      </c>
      <c r="C329" t="s">
        <v>986</v>
      </c>
      <c r="D329" t="s">
        <v>992</v>
      </c>
      <c r="E329" t="s">
        <v>220</v>
      </c>
      <c r="H329" s="25" t="s">
        <v>993</v>
      </c>
      <c r="I329" t="b">
        <f>TRUE</f>
        <v>1</v>
      </c>
    </row>
    <row r="330" spans="1:9" ht="30" hidden="1" x14ac:dyDescent="0.25">
      <c r="A330" t="s">
        <v>737</v>
      </c>
      <c r="B330" t="s">
        <v>983</v>
      </c>
      <c r="C330" t="s">
        <v>986</v>
      </c>
      <c r="D330" t="s">
        <v>994</v>
      </c>
      <c r="E330" t="s">
        <v>220</v>
      </c>
      <c r="G330" t="s">
        <v>995</v>
      </c>
      <c r="H330" s="25" t="s">
        <v>996</v>
      </c>
      <c r="I330" t="b">
        <f>AND(COUNTIF($N$2:$N$50,"Prized Acquisition")&gt;0,IFERROR(INDEX($L$2:$L$22,MATCH("Crafting",$K$2:$K$22,0)),0)&gt;=2)</f>
        <v>0</v>
      </c>
    </row>
    <row r="331" spans="1:9" ht="30" hidden="1" x14ac:dyDescent="0.25">
      <c r="A331" t="s">
        <v>737</v>
      </c>
      <c r="B331" t="s">
        <v>983</v>
      </c>
      <c r="C331" t="s">
        <v>986</v>
      </c>
      <c r="D331" t="s">
        <v>997</v>
      </c>
      <c r="E331" t="s">
        <v>224</v>
      </c>
      <c r="G331" t="s">
        <v>987</v>
      </c>
      <c r="H331" s="25" t="s">
        <v>998</v>
      </c>
      <c r="I331" t="b">
        <f>COUNTIF($N$2:$N$50,"Efficient Engineer")&gt;0</f>
        <v>0</v>
      </c>
    </row>
    <row r="332" spans="1:9" ht="30" hidden="1" x14ac:dyDescent="0.25">
      <c r="A332" t="s">
        <v>737</v>
      </c>
      <c r="B332" t="s">
        <v>983</v>
      </c>
      <c r="C332" t="s">
        <v>986</v>
      </c>
      <c r="D332" t="s">
        <v>999</v>
      </c>
      <c r="E332" t="s">
        <v>224</v>
      </c>
      <c r="G332" t="s">
        <v>1000</v>
      </c>
      <c r="H332" s="25" t="s">
        <v>1001</v>
      </c>
      <c r="I332" t="b">
        <f>AND(COUNTIF($N$2:$N$50,"Prized Acquisition")&gt;0,IFERROR(INDEX($L$2:$L$22,MATCH("Crafting",$K$2:$K$22,0)),0)&gt;=3)</f>
        <v>0</v>
      </c>
    </row>
    <row r="333" spans="1:9" ht="45" hidden="1" x14ac:dyDescent="0.25">
      <c r="A333" t="s">
        <v>737</v>
      </c>
      <c r="B333" t="s">
        <v>983</v>
      </c>
      <c r="C333" t="s">
        <v>986</v>
      </c>
      <c r="D333" t="s">
        <v>1002</v>
      </c>
      <c r="E333" t="s">
        <v>224</v>
      </c>
      <c r="G333" t="s">
        <v>997</v>
      </c>
      <c r="H333" s="25" t="s">
        <v>1003</v>
      </c>
      <c r="I333" t="b">
        <f>COUNTIF($N$2:$N$50,"Fine Handiwork")&gt;0</f>
        <v>0</v>
      </c>
    </row>
    <row r="334" spans="1:9" ht="30" hidden="1" x14ac:dyDescent="0.25">
      <c r="A334" t="s">
        <v>737</v>
      </c>
      <c r="B334" t="s">
        <v>983</v>
      </c>
      <c r="C334" t="s">
        <v>986</v>
      </c>
      <c r="D334" t="s">
        <v>1004</v>
      </c>
      <c r="E334" t="s">
        <v>224</v>
      </c>
      <c r="F334" t="s">
        <v>387</v>
      </c>
      <c r="G334" t="s">
        <v>1005</v>
      </c>
      <c r="H334" s="25" t="s">
        <v>1006</v>
      </c>
      <c r="I334" t="b">
        <f>AND(COUNTIF($N$2:$N$50,"Experimental Tinkering")&gt;0,IFERROR(INDEX($L$2:$L$22,MATCH("Lore",$K$2:$K$22,0)),0)&gt;=3)</f>
        <v>0</v>
      </c>
    </row>
    <row r="335" spans="1:9" ht="45" hidden="1" x14ac:dyDescent="0.25">
      <c r="A335" t="s">
        <v>737</v>
      </c>
      <c r="B335" t="s">
        <v>983</v>
      </c>
      <c r="C335" t="s">
        <v>1007</v>
      </c>
      <c r="D335" t="s">
        <v>1008</v>
      </c>
      <c r="E335" t="s">
        <v>224</v>
      </c>
      <c r="F335" t="s">
        <v>387</v>
      </c>
      <c r="G335" t="s">
        <v>743</v>
      </c>
      <c r="H335" s="25" t="s">
        <v>1009</v>
      </c>
      <c r="I335" t="b">
        <f>IFERROR(INDEX($L$2:$L$22,MATCH("Deduction",$K$2:$K$22,0)),0)&gt;=1</f>
        <v>1</v>
      </c>
    </row>
    <row r="336" spans="1:9" ht="30" hidden="1" x14ac:dyDescent="0.25">
      <c r="A336" t="s">
        <v>737</v>
      </c>
      <c r="B336" t="s">
        <v>983</v>
      </c>
      <c r="C336" t="s">
        <v>1007</v>
      </c>
      <c r="D336" t="s">
        <v>1010</v>
      </c>
      <c r="E336" t="s">
        <v>220</v>
      </c>
      <c r="H336" s="25" t="s">
        <v>1011</v>
      </c>
      <c r="I336" t="b">
        <f>TRUE</f>
        <v>1</v>
      </c>
    </row>
    <row r="337" spans="1:9" hidden="1" x14ac:dyDescent="0.25">
      <c r="A337" t="s">
        <v>737</v>
      </c>
      <c r="B337" t="s">
        <v>983</v>
      </c>
      <c r="C337" t="s">
        <v>1007</v>
      </c>
      <c r="D337" t="s">
        <v>326</v>
      </c>
      <c r="E337" t="s">
        <v>220</v>
      </c>
      <c r="G337" t="s">
        <v>1008</v>
      </c>
      <c r="H337" s="25" t="s">
        <v>831</v>
      </c>
      <c r="I337" t="b">
        <f>COUNTIF($N$2:$N$50,"Strategize")&gt;0</f>
        <v>1</v>
      </c>
    </row>
    <row r="338" spans="1:9" ht="30" hidden="1" x14ac:dyDescent="0.25">
      <c r="A338" t="s">
        <v>737</v>
      </c>
      <c r="B338" t="s">
        <v>983</v>
      </c>
      <c r="C338" t="s">
        <v>1007</v>
      </c>
      <c r="D338" t="s">
        <v>1012</v>
      </c>
      <c r="E338" t="s">
        <v>220</v>
      </c>
      <c r="G338" t="s">
        <v>1013</v>
      </c>
      <c r="H338" s="25" t="s">
        <v>1014</v>
      </c>
      <c r="I338" t="b">
        <f>AND(COUNTIF($N$2:$N$50,"Mind and Body")&gt;0,IFERROR(INDEX($L$2:$L$22,MATCH("Deduction",$K$2:$K$22,0)),0)&gt;=2)</f>
        <v>1</v>
      </c>
    </row>
    <row r="339" spans="1:9" hidden="1" x14ac:dyDescent="0.25">
      <c r="A339" t="s">
        <v>737</v>
      </c>
      <c r="B339" t="s">
        <v>983</v>
      </c>
      <c r="C339" t="s">
        <v>1007</v>
      </c>
      <c r="D339" t="s">
        <v>1015</v>
      </c>
      <c r="E339" t="s">
        <v>367</v>
      </c>
      <c r="G339" t="s">
        <v>1016</v>
      </c>
      <c r="H339" s="25" t="s">
        <v>1017</v>
      </c>
      <c r="I339" t="b">
        <f>AND(COUNTIF($N$2:$N$50,"Composed")&gt;0,IFERROR(INDEX($L$2:$L$22,MATCH("Lore",$K$2:$K$22,0)),0)&gt;=2)</f>
        <v>0</v>
      </c>
    </row>
    <row r="340" spans="1:9" ht="30" hidden="1" x14ac:dyDescent="0.25">
      <c r="A340" t="s">
        <v>737</v>
      </c>
      <c r="B340" t="s">
        <v>983</v>
      </c>
      <c r="C340" t="s">
        <v>1007</v>
      </c>
      <c r="D340" t="s">
        <v>1018</v>
      </c>
      <c r="E340" t="s">
        <v>220</v>
      </c>
      <c r="G340" t="s">
        <v>1015</v>
      </c>
      <c r="H340" s="25" t="s">
        <v>1019</v>
      </c>
      <c r="I340" t="b">
        <f>COUNTIF($N$2:$N$50,"Deep Contemplation")&gt;0</f>
        <v>0</v>
      </c>
    </row>
    <row r="341" spans="1:9" ht="30" hidden="1" x14ac:dyDescent="0.25">
      <c r="A341" t="s">
        <v>737</v>
      </c>
      <c r="B341" t="s">
        <v>983</v>
      </c>
      <c r="C341" t="s">
        <v>1007</v>
      </c>
      <c r="D341" t="s">
        <v>1020</v>
      </c>
      <c r="E341" t="s">
        <v>235</v>
      </c>
      <c r="F341" t="s">
        <v>387</v>
      </c>
      <c r="G341" t="s">
        <v>1021</v>
      </c>
      <c r="H341" s="25" t="s">
        <v>1022</v>
      </c>
      <c r="I341" t="b">
        <f>AND(COUNTIF($N$2:$N$50,"Composed")&gt;0,IFERROR(INDEX($L$2:$L$22,MATCH("Lore",$K$2:$K$22,0)),0)&gt;=3)</f>
        <v>0</v>
      </c>
    </row>
    <row r="342" spans="1:9" ht="45" hidden="1" x14ac:dyDescent="0.25">
      <c r="A342" t="s">
        <v>737</v>
      </c>
      <c r="B342" t="s">
        <v>983</v>
      </c>
      <c r="C342" t="s">
        <v>1007</v>
      </c>
      <c r="D342" t="s">
        <v>1023</v>
      </c>
      <c r="E342" t="s">
        <v>367</v>
      </c>
      <c r="F342" t="s">
        <v>387</v>
      </c>
      <c r="G342" t="s">
        <v>1024</v>
      </c>
      <c r="H342" s="25" t="s">
        <v>1025</v>
      </c>
      <c r="I342" t="b">
        <f>AND(COUNTIF($N$2:$N$50,"Contingency")&gt;0,IFERROR(INDEX($L$2:$L$22,MATCH("Deduction",$K$2:$K$22,0)),0)&gt;=3)</f>
        <v>0</v>
      </c>
    </row>
    <row r="343" spans="1:9" ht="45" hidden="1" x14ac:dyDescent="0.25">
      <c r="A343" t="s">
        <v>737</v>
      </c>
      <c r="B343" t="s">
        <v>983</v>
      </c>
      <c r="C343" t="s">
        <v>1026</v>
      </c>
      <c r="D343" t="s">
        <v>1027</v>
      </c>
      <c r="E343" t="s">
        <v>253</v>
      </c>
      <c r="F343" t="s">
        <v>236</v>
      </c>
      <c r="G343" t="s">
        <v>1028</v>
      </c>
      <c r="H343" s="25" t="s">
        <v>1029</v>
      </c>
      <c r="I343" t="b">
        <f>IFERROR(INDEX($L$2:$L$22,MATCH("Medicine",$K$2:$K$22,0)),0)&gt;=1</f>
        <v>0</v>
      </c>
    </row>
    <row r="344" spans="1:9" ht="30" hidden="1" x14ac:dyDescent="0.25">
      <c r="A344" t="s">
        <v>737</v>
      </c>
      <c r="B344" t="s">
        <v>983</v>
      </c>
      <c r="C344" t="s">
        <v>1026</v>
      </c>
      <c r="D344" t="s">
        <v>1030</v>
      </c>
      <c r="E344" t="s">
        <v>220</v>
      </c>
      <c r="H344" s="25" t="s">
        <v>1031</v>
      </c>
      <c r="I344" t="b">
        <f>TRUE</f>
        <v>1</v>
      </c>
    </row>
    <row r="345" spans="1:9" ht="45" hidden="1" x14ac:dyDescent="0.25">
      <c r="A345" t="s">
        <v>737</v>
      </c>
      <c r="B345" t="s">
        <v>983</v>
      </c>
      <c r="C345" t="s">
        <v>1026</v>
      </c>
      <c r="D345" t="s">
        <v>1032</v>
      </c>
      <c r="E345" t="s">
        <v>224</v>
      </c>
      <c r="F345" t="s">
        <v>1033</v>
      </c>
      <c r="G345" t="s">
        <v>1027</v>
      </c>
      <c r="H345" s="25" t="s">
        <v>1034</v>
      </c>
      <c r="I345" t="b">
        <f>COUNTIF($N$2:$N$50,"Field Medicine")&gt;0</f>
        <v>0</v>
      </c>
    </row>
    <row r="346" spans="1:9" hidden="1" x14ac:dyDescent="0.25">
      <c r="A346" t="s">
        <v>737</v>
      </c>
      <c r="B346" t="s">
        <v>983</v>
      </c>
      <c r="C346" t="s">
        <v>1026</v>
      </c>
      <c r="D346" t="s">
        <v>305</v>
      </c>
      <c r="E346" t="s">
        <v>220</v>
      </c>
      <c r="G346" t="s">
        <v>1030</v>
      </c>
      <c r="H346" s="25" t="s">
        <v>767</v>
      </c>
      <c r="I346" t="b">
        <f>COUNTIF($N$2:$N$50,"Emotional Intelligence")&gt;0</f>
        <v>0</v>
      </c>
    </row>
    <row r="347" spans="1:9" ht="30" hidden="1" x14ac:dyDescent="0.25">
      <c r="A347" t="s">
        <v>737</v>
      </c>
      <c r="B347" t="s">
        <v>983</v>
      </c>
      <c r="C347" t="s">
        <v>1026</v>
      </c>
      <c r="D347" t="s">
        <v>1035</v>
      </c>
      <c r="E347" t="s">
        <v>351</v>
      </c>
      <c r="G347" t="s">
        <v>1036</v>
      </c>
      <c r="H347" s="25" t="s">
        <v>1037</v>
      </c>
      <c r="I347" t="b">
        <f>AND(COUNTIF($N$2:$N$50,"Field Medicine")&gt;0,IFERROR(INDEX($L$2:$L$22,MATCH("Medicine",$K$2:$K$22,0)),0)&gt;=2)</f>
        <v>0</v>
      </c>
    </row>
    <row r="348" spans="1:9" ht="30" hidden="1" x14ac:dyDescent="0.25">
      <c r="A348" t="s">
        <v>737</v>
      </c>
      <c r="B348" t="s">
        <v>983</v>
      </c>
      <c r="C348" t="s">
        <v>1026</v>
      </c>
      <c r="D348" t="s">
        <v>1038</v>
      </c>
      <c r="E348" t="s">
        <v>220</v>
      </c>
      <c r="G348" t="s">
        <v>1039</v>
      </c>
      <c r="H348" s="25" t="s">
        <v>1040</v>
      </c>
      <c r="I348" t="b">
        <f>AND(COUNTIF($N$2:$N$50,"Collected")&gt;0,IFERROR(INDEX($L$2:$L$22,MATCH("Lore",$K$2:$K$22,0)),0)&gt;=2)</f>
        <v>0</v>
      </c>
    </row>
    <row r="349" spans="1:9" ht="45" hidden="1" x14ac:dyDescent="0.25">
      <c r="A349" t="s">
        <v>737</v>
      </c>
      <c r="B349" t="s">
        <v>983</v>
      </c>
      <c r="C349" t="s">
        <v>1026</v>
      </c>
      <c r="D349" t="s">
        <v>1041</v>
      </c>
      <c r="E349" t="s">
        <v>224</v>
      </c>
      <c r="G349" t="s">
        <v>1042</v>
      </c>
      <c r="H349" s="25" t="s">
        <v>1043</v>
      </c>
      <c r="I349" t="b">
        <f>AND(COUNTIF($N$2:$N$50,"Swift Healer")&gt;0,IFERROR(INDEX($L$2:$L$22,MATCH("Lore",$K$2:$K$22,0)),0)&gt;=3)</f>
        <v>0</v>
      </c>
    </row>
    <row r="350" spans="1:9" ht="30" hidden="1" x14ac:dyDescent="0.25">
      <c r="A350" t="s">
        <v>737</v>
      </c>
      <c r="B350" t="s">
        <v>983</v>
      </c>
      <c r="C350" t="s">
        <v>1026</v>
      </c>
      <c r="D350" t="s">
        <v>1044</v>
      </c>
      <c r="E350" t="s">
        <v>224</v>
      </c>
      <c r="F350" t="s">
        <v>759</v>
      </c>
      <c r="G350" t="s">
        <v>1045</v>
      </c>
      <c r="H350" s="25" t="s">
        <v>1046</v>
      </c>
      <c r="I350" t="b">
        <f>AND(COUNTIF($N$2:$N$50,"Swift Healer")&gt;0,IFERROR(INDEX($L$2:$L$22,MATCH("Medicine",$K$2:$K$22,0)),0)&gt;=3)</f>
        <v>0</v>
      </c>
    </row>
    <row r="351" spans="1:9" ht="45" hidden="1" x14ac:dyDescent="0.25">
      <c r="A351" t="s">
        <v>737</v>
      </c>
      <c r="B351" t="s">
        <v>1047</v>
      </c>
      <c r="C351" t="s">
        <v>218</v>
      </c>
      <c r="D351" t="s">
        <v>1048</v>
      </c>
      <c r="E351" t="s">
        <v>253</v>
      </c>
      <c r="H351" s="25" t="s">
        <v>1049</v>
      </c>
      <c r="I351" t="b">
        <f>TRUE</f>
        <v>1</v>
      </c>
    </row>
    <row r="352" spans="1:9" ht="60" hidden="1" x14ac:dyDescent="0.25">
      <c r="A352" t="s">
        <v>737</v>
      </c>
      <c r="B352" t="s">
        <v>1047</v>
      </c>
      <c r="C352" t="s">
        <v>1050</v>
      </c>
      <c r="D352" t="s">
        <v>1051</v>
      </c>
      <c r="E352" t="s">
        <v>224</v>
      </c>
      <c r="F352" t="s">
        <v>236</v>
      </c>
      <c r="H352" s="25" t="s">
        <v>1052</v>
      </c>
      <c r="I352" t="b">
        <f>TRUE</f>
        <v>1</v>
      </c>
    </row>
    <row r="353" spans="1:9" ht="45" hidden="1" x14ac:dyDescent="0.25">
      <c r="A353" t="s">
        <v>737</v>
      </c>
      <c r="B353" t="s">
        <v>1047</v>
      </c>
      <c r="C353" t="s">
        <v>1050</v>
      </c>
      <c r="D353" t="s">
        <v>1053</v>
      </c>
      <c r="E353" t="s">
        <v>253</v>
      </c>
      <c r="G353" t="s">
        <v>1054</v>
      </c>
      <c r="H353" s="25" t="s">
        <v>1055</v>
      </c>
      <c r="I353" t="b">
        <f>IFERROR(INDEX($L$2:$L$22,MATCH("Intimidation",$K$2:$K$22,0)),0)&gt;=1</f>
        <v>0</v>
      </c>
    </row>
    <row r="354" spans="1:9" ht="45" hidden="1" x14ac:dyDescent="0.25">
      <c r="A354" t="s">
        <v>737</v>
      </c>
      <c r="B354" t="s">
        <v>1047</v>
      </c>
      <c r="C354" t="s">
        <v>1050</v>
      </c>
      <c r="D354" t="s">
        <v>1056</v>
      </c>
      <c r="E354" t="s">
        <v>253</v>
      </c>
      <c r="G354" t="s">
        <v>1057</v>
      </c>
      <c r="H354" s="25" t="s">
        <v>1058</v>
      </c>
      <c r="I354" t="b">
        <f>AND(COUNTIF($N$2:$N$50,"Practiced Kata")&gt;0,IFERROR(INDEX($L$2:$L$22,MATCH("Athletics",$K$2:$K$22,0)),0)&gt;=2)</f>
        <v>0</v>
      </c>
    </row>
    <row r="355" spans="1:9" ht="30" hidden="1" x14ac:dyDescent="0.25">
      <c r="A355" t="s">
        <v>737</v>
      </c>
      <c r="B355" t="s">
        <v>1047</v>
      </c>
      <c r="C355" t="s">
        <v>1050</v>
      </c>
      <c r="D355" t="s">
        <v>1059</v>
      </c>
      <c r="E355" t="s">
        <v>220</v>
      </c>
      <c r="G355" t="s">
        <v>1053</v>
      </c>
      <c r="H355" s="25" t="s">
        <v>1060</v>
      </c>
      <c r="I355" t="b">
        <f>COUNTIF($N$2:$N$50,"Flamestance")&gt;0</f>
        <v>0</v>
      </c>
    </row>
    <row r="356" spans="1:9" ht="30" hidden="1" x14ac:dyDescent="0.25">
      <c r="A356" t="s">
        <v>737</v>
      </c>
      <c r="B356" t="s">
        <v>1047</v>
      </c>
      <c r="C356" t="s">
        <v>1050</v>
      </c>
      <c r="D356" t="s">
        <v>503</v>
      </c>
      <c r="E356" t="s">
        <v>220</v>
      </c>
      <c r="G356" t="s">
        <v>1056</v>
      </c>
      <c r="H356" s="25" t="s">
        <v>787</v>
      </c>
      <c r="I356" t="b">
        <f>COUNTIF($N$2:$N$50,"Ironstance")&gt;0</f>
        <v>0</v>
      </c>
    </row>
    <row r="357" spans="1:9" ht="45" hidden="1" x14ac:dyDescent="0.25">
      <c r="A357" t="s">
        <v>737</v>
      </c>
      <c r="B357" t="s">
        <v>1047</v>
      </c>
      <c r="C357" t="s">
        <v>1050</v>
      </c>
      <c r="D357" t="s">
        <v>1061</v>
      </c>
      <c r="E357" t="s">
        <v>253</v>
      </c>
      <c r="F357" t="s">
        <v>387</v>
      </c>
      <c r="G357" t="s">
        <v>1062</v>
      </c>
      <c r="H357" s="25" t="s">
        <v>1063</v>
      </c>
      <c r="I357" t="b">
        <f>AND(COUNTIF($N$2:$N$50,"Flamestance")&gt;0,IFERROR(INDEX($L$2:$L$22,MATCH("Intimidation",$K$2:$K$22,0)),0)&gt;=2)</f>
        <v>0</v>
      </c>
    </row>
    <row r="358" spans="1:9" ht="60" hidden="1" x14ac:dyDescent="0.25">
      <c r="A358" t="s">
        <v>737</v>
      </c>
      <c r="B358" t="s">
        <v>1047</v>
      </c>
      <c r="C358" t="s">
        <v>1050</v>
      </c>
      <c r="D358" t="s">
        <v>1064</v>
      </c>
      <c r="E358" t="s">
        <v>253</v>
      </c>
      <c r="G358" t="s">
        <v>1065</v>
      </c>
      <c r="H358" s="25" t="s">
        <v>1066</v>
      </c>
      <c r="I358" t="b">
        <f>AND(COUNTIF($N$2:$N$50,"Feinting Strike")&gt;0,IFERROR(INDEX($L$2:$L$22,MATCH("Athletics",$K$2:$K$22,0)),0)&gt;=3)</f>
        <v>0</v>
      </c>
    </row>
    <row r="359" spans="1:9" ht="60" hidden="1" x14ac:dyDescent="0.25">
      <c r="A359" t="s">
        <v>737</v>
      </c>
      <c r="B359" t="s">
        <v>1047</v>
      </c>
      <c r="C359" t="s">
        <v>1050</v>
      </c>
      <c r="D359" t="s">
        <v>1067</v>
      </c>
      <c r="E359" t="s">
        <v>367</v>
      </c>
      <c r="F359" t="s">
        <v>236</v>
      </c>
      <c r="G359" t="s">
        <v>1068</v>
      </c>
      <c r="H359" s="25" t="s">
        <v>1069</v>
      </c>
      <c r="I359" t="b">
        <f>AND(COUNTIF($N$2:$N$50,"Feinting Strike")&gt;0,IFERROR(INDEX($L$2:$L$22,MATCH("Intimidation",$K$2:$K$22,0)),0)&gt;=3)</f>
        <v>0</v>
      </c>
    </row>
    <row r="360" spans="1:9" ht="60" hidden="1" x14ac:dyDescent="0.25">
      <c r="A360" t="s">
        <v>737</v>
      </c>
      <c r="B360" t="s">
        <v>1047</v>
      </c>
      <c r="C360" t="s">
        <v>1070</v>
      </c>
      <c r="D360" t="s">
        <v>1071</v>
      </c>
      <c r="E360" t="s">
        <v>224</v>
      </c>
      <c r="G360" t="s">
        <v>1072</v>
      </c>
      <c r="H360" s="25" t="s">
        <v>1073</v>
      </c>
      <c r="I360" t="b">
        <f>TRUE</f>
        <v>1</v>
      </c>
    </row>
    <row r="361" spans="1:9" ht="45" hidden="1" x14ac:dyDescent="0.25">
      <c r="A361" t="s">
        <v>737</v>
      </c>
      <c r="B361" t="s">
        <v>1047</v>
      </c>
      <c r="C361" t="s">
        <v>1070</v>
      </c>
      <c r="D361" t="s">
        <v>1074</v>
      </c>
      <c r="E361" t="s">
        <v>253</v>
      </c>
      <c r="H361" s="25" t="s">
        <v>1075</v>
      </c>
      <c r="I361" t="b">
        <f>TRUE</f>
        <v>1</v>
      </c>
    </row>
    <row r="362" spans="1:9" ht="45" hidden="1" x14ac:dyDescent="0.25">
      <c r="A362" t="s">
        <v>737</v>
      </c>
      <c r="B362" t="s">
        <v>1047</v>
      </c>
      <c r="C362" t="s">
        <v>1070</v>
      </c>
      <c r="D362" t="s">
        <v>1076</v>
      </c>
      <c r="E362" t="s">
        <v>253</v>
      </c>
      <c r="G362" t="s">
        <v>1077</v>
      </c>
      <c r="H362" s="25" t="s">
        <v>1078</v>
      </c>
      <c r="I362" t="b">
        <f>AND(COUNTIF($N$2:$N$50,"Shard Training")&gt;0,IFERROR(INDEX($L$2:$L$22,MATCH("Perception",$K$2:$K$22,0)),0)&gt;=1)</f>
        <v>0</v>
      </c>
    </row>
    <row r="363" spans="1:9" ht="30" hidden="1" x14ac:dyDescent="0.25">
      <c r="A363" t="s">
        <v>737</v>
      </c>
      <c r="B363" t="s">
        <v>1047</v>
      </c>
      <c r="C363" t="s">
        <v>1070</v>
      </c>
      <c r="D363" t="s">
        <v>423</v>
      </c>
      <c r="E363" t="s">
        <v>220</v>
      </c>
      <c r="G363" t="s">
        <v>1074</v>
      </c>
      <c r="H363" s="25" t="s">
        <v>773</v>
      </c>
      <c r="I363" t="b">
        <f>COUNTIF($N$2:$N$50,"Stonestance")&gt;0</f>
        <v>0</v>
      </c>
    </row>
    <row r="364" spans="1:9" ht="45" hidden="1" x14ac:dyDescent="0.25">
      <c r="A364" t="s">
        <v>737</v>
      </c>
      <c r="B364" t="s">
        <v>1047</v>
      </c>
      <c r="C364" t="s">
        <v>1070</v>
      </c>
      <c r="D364" t="s">
        <v>1079</v>
      </c>
      <c r="E364" t="s">
        <v>224</v>
      </c>
      <c r="F364" t="s">
        <v>387</v>
      </c>
      <c r="G364" t="s">
        <v>1080</v>
      </c>
      <c r="H364" s="25" t="s">
        <v>1081</v>
      </c>
      <c r="I364" t="b">
        <f>AND(COUNTIF($N$2:$N$50,"Windstance")&gt;0,IFERROR(INDEX($L$2:$L$22,MATCH("Perception",$K$2:$K$22,0)),0)&gt;=2)</f>
        <v>0</v>
      </c>
    </row>
    <row r="365" spans="1:9" ht="45" hidden="1" x14ac:dyDescent="0.25">
      <c r="A365" t="s">
        <v>737</v>
      </c>
      <c r="B365" t="s">
        <v>1047</v>
      </c>
      <c r="C365" t="s">
        <v>1070</v>
      </c>
      <c r="D365" t="s">
        <v>1082</v>
      </c>
      <c r="E365" t="s">
        <v>253</v>
      </c>
      <c r="G365" t="s">
        <v>1083</v>
      </c>
      <c r="H365" s="25" t="s">
        <v>1084</v>
      </c>
      <c r="I365" t="b">
        <f>AND(COUNTIF($N$2:$N$50,"Shard Training")&gt;0,COUNTIF($N$2:$N$50,"Mighty")&gt;0,IFERROR(INDEX($L$2:$L$22,MATCH("Athletics",$K$2:$K$22,0)),0)&gt;=2)</f>
        <v>0</v>
      </c>
    </row>
    <row r="366" spans="1:9" ht="60" hidden="1" x14ac:dyDescent="0.25">
      <c r="A366" t="s">
        <v>737</v>
      </c>
      <c r="B366" t="s">
        <v>1047</v>
      </c>
      <c r="C366" t="s">
        <v>1070</v>
      </c>
      <c r="D366" t="s">
        <v>1085</v>
      </c>
      <c r="E366" t="s">
        <v>235</v>
      </c>
      <c r="F366" t="s">
        <v>236</v>
      </c>
      <c r="G366" t="s">
        <v>1086</v>
      </c>
      <c r="H366" s="25" t="s">
        <v>1087</v>
      </c>
      <c r="I366" t="b">
        <f>AND(COUNTIF($N$2:$N$50,"Shattering Blow")&gt;0,IFERROR(INDEX($L$2:$L$22,MATCH("Perception",$K$2:$K$22,0)),0)&gt;=3)</f>
        <v>0</v>
      </c>
    </row>
    <row r="367" spans="1:9" ht="60" hidden="1" x14ac:dyDescent="0.25">
      <c r="A367" t="s">
        <v>737</v>
      </c>
      <c r="B367" t="s">
        <v>1047</v>
      </c>
      <c r="C367" t="s">
        <v>1070</v>
      </c>
      <c r="D367" t="s">
        <v>1088</v>
      </c>
      <c r="E367" t="s">
        <v>367</v>
      </c>
      <c r="F367" t="s">
        <v>387</v>
      </c>
      <c r="G367" t="s">
        <v>1089</v>
      </c>
      <c r="H367" s="25" t="s">
        <v>1090</v>
      </c>
      <c r="I367" t="b">
        <f>AND(COUNTIF($N$2:$N$50,"Bloodstance")&gt;0,IFERROR(INDEX($L$2:$L$22,MATCH("Athletics",$K$2:$K$22,0)),0)&gt;=3)</f>
        <v>0</v>
      </c>
    </row>
    <row r="368" spans="1:9" ht="30" hidden="1" x14ac:dyDescent="0.25">
      <c r="A368" t="s">
        <v>737</v>
      </c>
      <c r="B368" t="s">
        <v>1047</v>
      </c>
      <c r="C368" t="s">
        <v>1091</v>
      </c>
      <c r="D368" t="s">
        <v>1092</v>
      </c>
      <c r="E368" t="s">
        <v>367</v>
      </c>
      <c r="G368" t="s">
        <v>804</v>
      </c>
      <c r="H368" s="25" t="s">
        <v>1093</v>
      </c>
      <c r="I368" t="b">
        <f>IFERROR(INDEX($L$2:$L$22,MATCH("Discipline",$K$2:$K$22,0)),0)&gt;=1</f>
        <v>0</v>
      </c>
    </row>
    <row r="369" spans="1:9" ht="30" hidden="1" x14ac:dyDescent="0.25">
      <c r="A369" t="s">
        <v>737</v>
      </c>
      <c r="B369" t="s">
        <v>1047</v>
      </c>
      <c r="C369" t="s">
        <v>1091</v>
      </c>
      <c r="D369" t="s">
        <v>871</v>
      </c>
      <c r="E369" t="s">
        <v>224</v>
      </c>
      <c r="H369" s="25" t="s">
        <v>872</v>
      </c>
      <c r="I369" t="b">
        <f>TRUE</f>
        <v>1</v>
      </c>
    </row>
    <row r="370" spans="1:9" ht="30" hidden="1" x14ac:dyDescent="0.25">
      <c r="A370" t="s">
        <v>737</v>
      </c>
      <c r="B370" t="s">
        <v>1047</v>
      </c>
      <c r="C370" t="s">
        <v>1091</v>
      </c>
      <c r="D370" t="s">
        <v>1094</v>
      </c>
      <c r="E370" t="s">
        <v>220</v>
      </c>
      <c r="G370" t="s">
        <v>1095</v>
      </c>
      <c r="H370" s="25" t="s">
        <v>1096</v>
      </c>
      <c r="I370" t="b">
        <f>AND(COUNTIF($N$2:$N$50,"Cautious Advance")&gt;0,IFERROR(INDEX($L$2:$L$22,MATCH("Athletics",$K$2:$K$22,0)),0)&gt;=2)</f>
        <v>0</v>
      </c>
    </row>
    <row r="371" spans="1:9" ht="30" hidden="1" x14ac:dyDescent="0.25">
      <c r="A371" t="s">
        <v>737</v>
      </c>
      <c r="B371" t="s">
        <v>1047</v>
      </c>
      <c r="C371" t="s">
        <v>1091</v>
      </c>
      <c r="D371" t="s">
        <v>1097</v>
      </c>
      <c r="E371" t="s">
        <v>367</v>
      </c>
      <c r="G371" t="s">
        <v>1098</v>
      </c>
      <c r="H371" s="25" t="s">
        <v>1099</v>
      </c>
      <c r="I371" t="b">
        <f>AND(COUNTIF($N$2:$N$50,"Combat Training")&gt;0,IFERROR(INDEX($L$2:$L$22,MATCH("Athletics",$K$2:$K$22,0)),0)&gt;=3)</f>
        <v>0</v>
      </c>
    </row>
    <row r="372" spans="1:9" ht="30" hidden="1" x14ac:dyDescent="0.25">
      <c r="A372" t="s">
        <v>737</v>
      </c>
      <c r="B372" t="s">
        <v>1047</v>
      </c>
      <c r="C372" t="s">
        <v>1091</v>
      </c>
      <c r="D372" t="s">
        <v>1100</v>
      </c>
      <c r="E372" t="s">
        <v>220</v>
      </c>
      <c r="G372" t="s">
        <v>1101</v>
      </c>
      <c r="H372" s="25" t="s">
        <v>1102</v>
      </c>
      <c r="I372" t="b">
        <f>AND(COUNTIF($N$2:$N$50,"Defensive Position")&gt;0,IFERROR(INDEX($L$2:$L$22,MATCH("Discipline",$K$2:$K$22,0)),0)&gt;=2)</f>
        <v>0</v>
      </c>
    </row>
    <row r="373" spans="1:9" hidden="1" x14ac:dyDescent="0.25">
      <c r="A373" t="s">
        <v>737</v>
      </c>
      <c r="B373" t="s">
        <v>1047</v>
      </c>
      <c r="C373" t="s">
        <v>1091</v>
      </c>
      <c r="D373" t="s">
        <v>265</v>
      </c>
      <c r="E373" t="s">
        <v>220</v>
      </c>
      <c r="G373" t="s">
        <v>871</v>
      </c>
      <c r="H373" s="25" t="s">
        <v>754</v>
      </c>
      <c r="I373" t="b">
        <f>COUNTIF($N$2:$N$50,"Combat Training")&gt;0</f>
        <v>0</v>
      </c>
    </row>
    <row r="374" spans="1:9" ht="45" hidden="1" x14ac:dyDescent="0.25">
      <c r="A374" t="s">
        <v>737</v>
      </c>
      <c r="B374" t="s">
        <v>1047</v>
      </c>
      <c r="C374" t="s">
        <v>1091</v>
      </c>
      <c r="D374" t="s">
        <v>1103</v>
      </c>
      <c r="E374" t="s">
        <v>220</v>
      </c>
      <c r="G374" t="s">
        <v>1104</v>
      </c>
      <c r="H374" s="25" t="s">
        <v>1105</v>
      </c>
      <c r="I374" t="b">
        <f>AND(COUNTIF($N$2:$N$50,"Defensive Position")&gt;0,IFERROR(INDEX($L$2:$L$22,MATCH("Discipline",$K$2:$K$22,0)),0)&gt;=3)</f>
        <v>0</v>
      </c>
    </row>
    <row r="375" spans="1:9" hidden="1" x14ac:dyDescent="0.25">
      <c r="A375" t="s">
        <v>737</v>
      </c>
      <c r="B375" t="s">
        <v>1047</v>
      </c>
      <c r="C375" t="s">
        <v>1091</v>
      </c>
      <c r="D375" t="s">
        <v>901</v>
      </c>
      <c r="E375" t="s">
        <v>253</v>
      </c>
      <c r="F375" t="s">
        <v>236</v>
      </c>
      <c r="G375" t="s">
        <v>265</v>
      </c>
      <c r="H375" s="25" t="s">
        <v>902</v>
      </c>
      <c r="I375" t="b">
        <f>COUNTIF($N$2:$N$50,"Hardy")&gt;0</f>
        <v>0</v>
      </c>
    </row>
  </sheetData>
  <autoFilter ref="A1:I375" xr:uid="{00000000-0001-0000-0200-000000000000}">
    <filterColumn colId="0">
      <filters>
        <filter val="deity"/>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Character Builder</vt:lpstr>
      <vt:lpstr>Reference</vt:lpstr>
      <vt:lpstr>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Hesse</cp:lastModifiedBy>
  <dcterms:created xsi:type="dcterms:W3CDTF">2026-04-23T04:34:52Z</dcterms:created>
  <dcterms:modified xsi:type="dcterms:W3CDTF">2026-04-24T19:16:15Z</dcterms:modified>
</cp:coreProperties>
</file>